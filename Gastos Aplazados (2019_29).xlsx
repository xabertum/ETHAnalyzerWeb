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 DEUDA" sheetId="1" r:id="rId5"/>
    <sheet state="visible" name="Inversión Crypto" sheetId="2" r:id="rId6"/>
    <sheet state="visible" name="APLAZAMIENTOS" sheetId="3" r:id="rId7"/>
  </sheets>
  <definedNames>
    <definedName hidden="1" localSheetId="2" name="Z_3F14B2EF_E4D3_4E28_82E4_533E83243288_.wvu.FilterData">APLAZAMIENTOS!$B$4:$M$4</definedName>
  </definedNames>
  <calcPr/>
  <customWorkbookViews>
    <customWorkbookView activeSheetId="0" maximized="1" windowHeight="0" windowWidth="0" guid="{3F14B2EF-E4D3-4E28-82E4-533E83243288}" name="Filter 1"/>
  </customWorkbookViews>
</workbook>
</file>

<file path=xl/sharedStrings.xml><?xml version="1.0" encoding="utf-8"?>
<sst xmlns="http://schemas.openxmlformats.org/spreadsheetml/2006/main" count="331" uniqueCount="176">
  <si>
    <t>Inversión Crypto</t>
  </si>
  <si>
    <t>Gastos DEUDA</t>
  </si>
  <si>
    <t>Inversión ETH</t>
  </si>
  <si>
    <t>Dia de compra</t>
  </si>
  <si>
    <t>Precio Transacción</t>
  </si>
  <si>
    <t>Cantidad ETH</t>
  </si>
  <si>
    <t>Operación</t>
  </si>
  <si>
    <t>Año 2023</t>
  </si>
  <si>
    <t xml:space="preserve"> </t>
  </si>
  <si>
    <t>ENERO</t>
  </si>
  <si>
    <t>31/08/26</t>
  </si>
  <si>
    <t>FEBRERO</t>
  </si>
  <si>
    <t>MARZO</t>
  </si>
  <si>
    <t>ABRIL</t>
  </si>
  <si>
    <t>MAYO</t>
  </si>
  <si>
    <t>JUNIO</t>
  </si>
  <si>
    <t>JULIO</t>
  </si>
  <si>
    <t>0.04701700</t>
  </si>
  <si>
    <t>AGOSTO</t>
  </si>
  <si>
    <t>APLAZAMIENTO DE GASTOS (2019/29)</t>
  </si>
  <si>
    <t>Compra</t>
  </si>
  <si>
    <t>SEPTIEMBRE</t>
  </si>
  <si>
    <t>OCTUBRE</t>
  </si>
  <si>
    <t>NOVIEMBRE</t>
  </si>
  <si>
    <t>DICIEMBRE</t>
  </si>
  <si>
    <t>TOTAL</t>
  </si>
  <si>
    <t>0,00453800</t>
  </si>
  <si>
    <t>19/09/2026</t>
  </si>
  <si>
    <t>0,00434800</t>
  </si>
  <si>
    <t>Venta</t>
  </si>
  <si>
    <t>--- GASTOS ---</t>
  </si>
  <si>
    <t>Sabadell Consumer</t>
  </si>
  <si>
    <t>0,00643200</t>
  </si>
  <si>
    <t>Gasto Aplazado</t>
  </si>
  <si>
    <t>21/09/2026</t>
  </si>
  <si>
    <t>0,00629000</t>
  </si>
  <si>
    <t>Fecha Compra</t>
  </si>
  <si>
    <t>Total Inversion</t>
  </si>
  <si>
    <t>Fecha Vencimiento</t>
  </si>
  <si>
    <t>Total</t>
  </si>
  <si>
    <t>Importe Cuotas</t>
  </si>
  <si>
    <t>Nº Total Cuotas</t>
  </si>
  <si>
    <t>Cuotas Restantes</t>
  </si>
  <si>
    <t>Importe Pagado</t>
  </si>
  <si>
    <t>Importe Restante</t>
  </si>
  <si>
    <t>Financiera</t>
  </si>
  <si>
    <t>Próxima Cuota</t>
  </si>
  <si>
    <t>Total Valor</t>
  </si>
  <si>
    <t>Cantidad Total ETH</t>
  </si>
  <si>
    <t>Total Acumulado</t>
  </si>
  <si>
    <t>Kutxabank</t>
  </si>
  <si>
    <t>RTD</t>
  </si>
  <si>
    <t>BBVA (Fraccionado)</t>
  </si>
  <si>
    <t>Xiaomi 9T Pro</t>
  </si>
  <si>
    <t>Gastos segun Prioridad Vigente (19/09/2025)</t>
  </si>
  <si>
    <t>1) Gastos Diputación</t>
  </si>
  <si>
    <t>COFIDIS</t>
  </si>
  <si>
    <t>-</t>
  </si>
  <si>
    <t>Matricula UOC</t>
  </si>
  <si>
    <t>UOC</t>
  </si>
  <si>
    <t>Samsung Smartwatch</t>
  </si>
  <si>
    <t>Mackie MR524</t>
  </si>
  <si>
    <t>PAGANTIS</t>
  </si>
  <si>
    <t>Gafas Afflelou</t>
  </si>
  <si>
    <t>2) Entrada Vehiculo</t>
  </si>
  <si>
    <t>Silla Trabajo</t>
  </si>
  <si>
    <t>3) BBVA Fraccionado</t>
  </si>
  <si>
    <t>4) Cancelación Prestamos</t>
  </si>
  <si>
    <t>Samsung USB</t>
  </si>
  <si>
    <t>Año 2024</t>
  </si>
  <si>
    <t>Bresser Researcher Bino</t>
  </si>
  <si>
    <t>Laboratorio Varios</t>
  </si>
  <si>
    <t>Philips 50PUS7504 50" LED UltraHD</t>
  </si>
  <si>
    <t>DipuCR (MA-00)</t>
  </si>
  <si>
    <t>DipuCR (MA-01)</t>
  </si>
  <si>
    <t>DipuCR (IBI)</t>
  </si>
  <si>
    <t>14-Dic-19</t>
  </si>
  <si>
    <t>APLAZAME</t>
  </si>
  <si>
    <t>Calefactor infrarrojo</t>
  </si>
  <si>
    <t>COFIDIS (4)</t>
  </si>
  <si>
    <t>--- AHORRO ---</t>
  </si>
  <si>
    <t>Calefactor infrarrojo Mapa Mundi</t>
  </si>
  <si>
    <t>Año 2025</t>
  </si>
  <si>
    <t>Tablet Gordo</t>
  </si>
  <si>
    <t>Monitor U2520D</t>
  </si>
  <si>
    <t>Ahorro mensual (2026)</t>
  </si>
  <si>
    <t>Varios Caja DR-100</t>
  </si>
  <si>
    <t>Julio</t>
  </si>
  <si>
    <t>Oculus Rift S</t>
  </si>
  <si>
    <t>26-Dic-20</t>
  </si>
  <si>
    <t>Xiaomi 9T Belén</t>
  </si>
  <si>
    <t>Agosto</t>
  </si>
  <si>
    <t>BBVA Credito</t>
  </si>
  <si>
    <t>Septiembre</t>
  </si>
  <si>
    <t>BBVA (Scrambler)</t>
  </si>
  <si>
    <t>DJI Mavic 2 Pro Fly More - Kit</t>
  </si>
  <si>
    <t>Octubre</t>
  </si>
  <si>
    <t>Interdomicilio</t>
  </si>
  <si>
    <t>COFIDIS (11.11)</t>
  </si>
  <si>
    <t>Noviembre</t>
  </si>
  <si>
    <t>Varios Amazon I</t>
  </si>
  <si>
    <t>Diciembre</t>
  </si>
  <si>
    <t>COFIDIS (3.47)</t>
  </si>
  <si>
    <t>Varios Amazon II</t>
  </si>
  <si>
    <t xml:space="preserve">Total </t>
  </si>
  <si>
    <t>Año 2026</t>
  </si>
  <si>
    <t>COFIDIS (4.16)</t>
  </si>
  <si>
    <t>--- GASTOS MENSUALES PREVISTOS ---</t>
  </si>
  <si>
    <t>BBVA</t>
  </si>
  <si>
    <t>WiMiUS Proyector WiFi</t>
  </si>
  <si>
    <t>COFIDIS (13.03)</t>
  </si>
  <si>
    <t>Philips 50PUS8535 50" LED UltraHD 4K</t>
  </si>
  <si>
    <t>BBVA 50</t>
  </si>
  <si>
    <t>Subscripciones</t>
  </si>
  <si>
    <t>Gastos Hogar</t>
  </si>
  <si>
    <t>Alquiler</t>
  </si>
  <si>
    <t>Varios Amazon IV</t>
  </si>
  <si>
    <t>Spotify</t>
  </si>
  <si>
    <t>Seguro Coche</t>
  </si>
  <si>
    <t>Amazon</t>
  </si>
  <si>
    <t>Varios Amazon III</t>
  </si>
  <si>
    <t>COFIDIS (5.41)</t>
  </si>
  <si>
    <t>MotoBlouz I</t>
  </si>
  <si>
    <t>Gasto Mensual Fijo</t>
  </si>
  <si>
    <t>MotoBlouz</t>
  </si>
  <si>
    <t>Varios Amazon VI</t>
  </si>
  <si>
    <t>Año 2027</t>
  </si>
  <si>
    <t>Telefóno</t>
  </si>
  <si>
    <t>Previsión Sueldo</t>
  </si>
  <si>
    <t>COFIDIS (5.57)</t>
  </si>
  <si>
    <t>BBVA II</t>
  </si>
  <si>
    <t>01-Ago-21</t>
  </si>
  <si>
    <t>Movistar</t>
  </si>
  <si>
    <t>01-Dic-21</t>
  </si>
  <si>
    <t>Gasto fijo total %</t>
  </si>
  <si>
    <t>Restante Sueldo %</t>
  </si>
  <si>
    <t>Varios Amazon VII</t>
  </si>
  <si>
    <t>Luz</t>
  </si>
  <si>
    <t>COFIDIS (1.63)</t>
  </si>
  <si>
    <t>MotoBlouz II</t>
  </si>
  <si>
    <t>19-Dic-21</t>
  </si>
  <si>
    <t>Motoblouz (5.03)</t>
  </si>
  <si>
    <t>Microgrado UNED</t>
  </si>
  <si>
    <t>22-Dic-21</t>
  </si>
  <si>
    <t>UNED</t>
  </si>
  <si>
    <t>BBVA III - Fraccionado</t>
  </si>
  <si>
    <t>eBay Cuadro Salón</t>
  </si>
  <si>
    <t>PayPal (0.0)</t>
  </si>
  <si>
    <t>Varios Amazon VIII</t>
  </si>
  <si>
    <t>COFIDIS (3.33)</t>
  </si>
  <si>
    <t>Arturia MiniLab MkII</t>
  </si>
  <si>
    <t>COFIDIS (0.0)</t>
  </si>
  <si>
    <t>Varios Amazon IX</t>
  </si>
  <si>
    <t>BBVA III - Fraccionado IV</t>
  </si>
  <si>
    <t>05-Mayo-22</t>
  </si>
  <si>
    <t>BBVA III - Fraccionado III</t>
  </si>
  <si>
    <t>BBVA III - Fraccionado II</t>
  </si>
  <si>
    <t>Credito COFIDIS</t>
  </si>
  <si>
    <t xml:space="preserve">Pago Hacienda (Multa) </t>
  </si>
  <si>
    <t>AET</t>
  </si>
  <si>
    <t>Vitaldent II</t>
  </si>
  <si>
    <t>Sabadell</t>
  </si>
  <si>
    <t>DipuCR</t>
  </si>
  <si>
    <t>Vitaldent I</t>
  </si>
  <si>
    <t xml:space="preserve">DipuCR (IBI) </t>
  </si>
  <si>
    <t>20-Enero-24</t>
  </si>
  <si>
    <t>20-Dic-24</t>
  </si>
  <si>
    <t>Datahack I</t>
  </si>
  <si>
    <t>Wanna (13.4)</t>
  </si>
  <si>
    <t>Datahack II</t>
  </si>
  <si>
    <t>SoFinco - Bankia (14.5)</t>
  </si>
  <si>
    <t>Deuda Reunificada</t>
  </si>
  <si>
    <t>ResuelveDeuda</t>
  </si>
  <si>
    <t>UM Scrambler 125</t>
  </si>
  <si>
    <t>Crédito BBVA</t>
  </si>
  <si>
    <t>31-Dic-28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</si>
</sst>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€]#,##0.00"/>
    <numFmt numFmtId="165" formatCode="mm/dd/yy"/>
    <numFmt numFmtId="166" formatCode="&quot;€&quot;#,##0.00"/>
    <numFmt numFmtId="167" formatCode="dd&quot;-&quot;mmm&quot;-&quot;yy"/>
    <numFmt numFmtId="168" formatCode="d-mmm-yy"/>
    <numFmt numFmtId="169" formatCode="dd-mmm-yy"/>
    <numFmt numFmtId="170" formatCode="%"/>
    <numFmt numFmtId="171" formatCode="m/d/yy"/>
  </numFmts>
  <fonts count="49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/>
    <font>
      <b/>
      <color theme="1"/>
      <name val="Arial"/>
      <scheme val="minor"/>
    </font>
    <font>
      <color rgb="FF38761D"/>
      <name val="Arial"/>
      <scheme val="minor"/>
    </font>
    <font>
      <color theme="1"/>
      <name val="Arial"/>
    </font>
    <font>
      <sz val="17.0"/>
      <color rgb="FFFFE599"/>
      <name val="Montserrat"/>
    </font>
    <font>
      <b/>
      <sz val="12.0"/>
      <color rgb="FFFFFFFF"/>
      <name val="Consolas"/>
    </font>
    <font>
      <sz val="12.0"/>
      <color rgb="FF000000"/>
      <name val="Consolas"/>
    </font>
    <font>
      <sz val="12.0"/>
      <color theme="1"/>
      <name val="Consolas"/>
    </font>
    <font>
      <color rgb="FF000000"/>
      <name val="Arial"/>
      <scheme val="minor"/>
    </font>
    <font>
      <b/>
      <sz val="12.0"/>
      <color theme="0"/>
      <name val="Consolas"/>
    </font>
    <font>
      <color rgb="FF000000"/>
      <name val="Arial"/>
    </font>
    <font>
      <b/>
      <color rgb="FF000000"/>
      <name val="Arial"/>
      <scheme val="minor"/>
    </font>
    <font>
      <b/>
      <sz val="12.0"/>
      <color rgb="FF666666"/>
      <name val="Consolas"/>
    </font>
    <font>
      <sz val="12.0"/>
      <color rgb="FF0B5394"/>
      <name val="Consolas"/>
    </font>
    <font>
      <b/>
      <color rgb="FFFF0000"/>
      <name val="Arial"/>
      <scheme val="minor"/>
    </font>
    <font>
      <b/>
      <color rgb="FFFF0000"/>
      <name val="Arial"/>
    </font>
    <font>
      <i/>
      <sz val="12.0"/>
      <color rgb="FF0B5394"/>
      <name val="Consolas"/>
    </font>
    <font>
      <b/>
      <color rgb="FF38761D"/>
      <name val="Arial"/>
      <scheme val="minor"/>
    </font>
    <font>
      <sz val="10.0"/>
      <color theme="1"/>
      <name val="Arial"/>
      <scheme val="minor"/>
    </font>
    <font>
      <sz val="10.0"/>
      <color rgb="FF3D3D3D"/>
      <name val="Arial"/>
      <scheme val="minor"/>
    </font>
    <font>
      <sz val="12.0"/>
      <color rgb="FF1C4587"/>
      <name val="Consolas"/>
    </font>
    <font>
      <b/>
      <sz val="10.0"/>
      <color theme="1"/>
      <name val="Arial"/>
      <scheme val="minor"/>
    </font>
    <font>
      <color rgb="FF1155CC"/>
      <name val="Arial"/>
      <scheme val="minor"/>
    </font>
    <font>
      <b/>
      <sz val="10.0"/>
      <color rgb="FF1155CC"/>
      <name val="Arial"/>
      <scheme val="minor"/>
    </font>
    <font>
      <b/>
      <color rgb="FF1155CC"/>
      <name val="Arial"/>
      <scheme val="minor"/>
    </font>
    <font>
      <b/>
      <sz val="10.0"/>
      <color rgb="FF0B5394"/>
      <name val="Arial"/>
      <scheme val="minor"/>
    </font>
    <font>
      <sz val="11.0"/>
      <color theme="1"/>
      <name val="Arial"/>
      <scheme val="minor"/>
    </font>
    <font>
      <b/>
      <color rgb="FF0B5394"/>
      <name val="Arial"/>
      <scheme val="minor"/>
    </font>
    <font>
      <b/>
      <sz val="10.0"/>
      <color rgb="FF990000"/>
      <name val="Arial"/>
      <scheme val="minor"/>
    </font>
    <font>
      <b/>
      <sz val="12.0"/>
      <color rgb="FF0B5394"/>
      <name val="Consolas"/>
    </font>
    <font>
      <color rgb="FF0B5394"/>
      <name val="Arial"/>
      <scheme val="minor"/>
    </font>
    <font>
      <b/>
      <sz val="12.0"/>
      <color theme="1"/>
      <name val="Consolas"/>
    </font>
    <font>
      <u/>
      <sz val="12.0"/>
      <color rgb="FF0B5394"/>
      <name val="Consolas"/>
    </font>
    <font>
      <color rgb="FF980000"/>
      <name val="Arial"/>
      <scheme val="minor"/>
    </font>
    <font>
      <sz val="12.0"/>
      <color rgb="FF6FA8DC"/>
      <name val="Consolas"/>
    </font>
    <font>
      <b/>
      <color rgb="FF980000"/>
      <name val="Arial"/>
      <scheme val="minor"/>
    </font>
    <font>
      <color rgb="FFA64D79"/>
      <name val="Arial"/>
      <scheme val="minor"/>
    </font>
    <font>
      <b/>
      <color rgb="FFA64D79"/>
      <name val="Arial"/>
      <scheme val="minor"/>
    </font>
    <font>
      <b/>
      <sz val="12.0"/>
      <color rgb="FF980000"/>
      <name val="Consolas"/>
    </font>
    <font>
      <b/>
      <color rgb="FF85200C"/>
      <name val="Arial"/>
      <scheme val="minor"/>
    </font>
    <font>
      <b/>
      <sz val="11.0"/>
      <color theme="0"/>
      <name val="Arial"/>
      <scheme val="minor"/>
    </font>
    <font>
      <sz val="11.0"/>
      <color rgb="FF274E13"/>
      <name val="Arial"/>
      <scheme val="minor"/>
    </font>
    <font>
      <sz val="11.0"/>
      <color rgb="FFFF0000"/>
      <name val="Arial"/>
      <scheme val="minor"/>
    </font>
    <font>
      <sz val="11.0"/>
      <color theme="5"/>
      <name val="Arial"/>
      <scheme val="minor"/>
    </font>
    <font>
      <sz val="11.0"/>
      <color rgb="FF1155CC"/>
      <name val="Arial"/>
      <scheme val="minor"/>
    </font>
    <font>
      <b/>
      <sz val="12.0"/>
      <color rgb="FFE69138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A2C4C9"/>
        <bgColor rgb="FFA2C4C9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BF9000"/>
        <bgColor rgb="FFBF9000"/>
      </patternFill>
    </fill>
    <fill>
      <patternFill patternType="solid">
        <fgColor rgb="FFCFE2F3"/>
        <bgColor rgb="FFCFE2F3"/>
      </patternFill>
    </fill>
    <fill>
      <patternFill patternType="solid">
        <fgColor rgb="FFF1C232"/>
        <bgColor rgb="FFF1C232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6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double">
        <color rgb="FF000000"/>
      </right>
    </border>
    <border>
      <right style="thin">
        <color rgb="FF000000"/>
      </right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666666"/>
      </right>
      <top style="medium">
        <color rgb="FF000000"/>
      </top>
      <bottom style="medium">
        <color rgb="FF000000"/>
      </bottom>
    </border>
    <border>
      <left style="thin">
        <color rgb="FF666666"/>
      </left>
      <top style="medium">
        <color rgb="FF000000"/>
      </top>
      <bottom style="medium">
        <color rgb="FF000000"/>
      </bottom>
    </border>
    <border>
      <left style="thin">
        <color rgb="FF666666"/>
      </left>
      <right style="thin">
        <color rgb="FF666666"/>
      </right>
      <top style="medium">
        <color rgb="FF000000"/>
      </top>
      <bottom style="medium">
        <color rgb="FF000000"/>
      </bottom>
    </border>
    <border>
      <left style="thin">
        <color rgb="FF666666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3" fontId="2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/>
    </xf>
    <xf borderId="5" fillId="0" fontId="3" numFmtId="0" xfId="0" applyBorder="1" applyFont="1"/>
    <xf borderId="6" fillId="4" fontId="1" numFmtId="0" xfId="0" applyAlignment="1" applyBorder="1" applyFill="1" applyFont="1">
      <alignment readingOrder="0"/>
    </xf>
    <xf borderId="7" fillId="0" fontId="3" numFmtId="0" xfId="0" applyBorder="1" applyFont="1"/>
    <xf borderId="6" fillId="4" fontId="1" numFmtId="0" xfId="0" applyAlignment="1" applyBorder="1" applyFill="1" applyFont="1">
      <alignment horizontal="center" readingOrder="0"/>
    </xf>
    <xf borderId="8" fillId="5" fontId="4" numFmtId="0" xfId="0" applyAlignment="1" applyBorder="1" applyFill="1" applyFont="1">
      <alignment readingOrder="0"/>
    </xf>
    <xf borderId="6" fillId="0" fontId="1" numFmtId="164" xfId="0" applyAlignment="1" applyBorder="1" applyFont="1" applyNumberFormat="1">
      <alignment horizontal="center" readingOrder="0"/>
    </xf>
    <xf borderId="9" fillId="0" fontId="1" numFmtId="0" xfId="0" applyAlignment="1" applyBorder="1" applyFont="1">
      <alignment horizontal="center" readingOrder="0"/>
    </xf>
    <xf borderId="0" fillId="0" fontId="5" numFmtId="0" xfId="0" applyFont="1"/>
    <xf borderId="6" fillId="0" fontId="1" numFmtId="0" xfId="0" applyAlignment="1" applyBorder="1" applyFont="1">
      <alignment horizontal="center" readingOrder="0"/>
    </xf>
    <xf borderId="6" fillId="0" fontId="1" numFmtId="49" xfId="0" applyAlignment="1" applyBorder="1" applyFont="1" applyNumberFormat="1">
      <alignment horizontal="center" readingOrder="0"/>
    </xf>
    <xf borderId="9" fillId="0" fontId="6" numFmtId="0" xfId="0" applyAlignment="1" applyBorder="1" applyFont="1">
      <alignment horizontal="center" readingOrder="0" vertical="bottom"/>
    </xf>
    <xf borderId="6" fillId="6" fontId="1" numFmtId="0" xfId="0" applyAlignment="1" applyBorder="1" applyFill="1" applyFont="1">
      <alignment horizontal="center" readingOrder="0"/>
    </xf>
    <xf borderId="4" fillId="7" fontId="7" numFmtId="0" xfId="0" applyAlignment="1" applyBorder="1" applyFill="1" applyFont="1">
      <alignment horizontal="center" readingOrder="0" vertical="center"/>
    </xf>
    <xf borderId="10" fillId="0" fontId="6" numFmtId="0" xfId="0" applyAlignment="1" applyBorder="1" applyFont="1">
      <alignment horizontal="center" readingOrder="0" vertical="bottom"/>
    </xf>
    <xf borderId="6" fillId="0" fontId="1" numFmtId="165" xfId="0" applyAlignment="1" applyBorder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6" fillId="5" fontId="1" numFmtId="164" xfId="0" applyAlignment="1" applyBorder="1" applyFill="1" applyFont="1" applyNumberFormat="1">
      <alignment horizontal="center" readingOrder="0"/>
    </xf>
    <xf borderId="11" fillId="0" fontId="1" numFmtId="0" xfId="0" applyBorder="1" applyFont="1"/>
    <xf borderId="6" fillId="5" fontId="1" numFmtId="0" xfId="0" applyAlignment="1" applyBorder="1" applyFill="1" applyFont="1">
      <alignment horizontal="center" readingOrder="0"/>
    </xf>
    <xf borderId="12" fillId="0" fontId="1" numFmtId="0" xfId="0" applyBorder="1" applyFont="1"/>
    <xf borderId="12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13" fillId="0" fontId="6" numFmtId="0" xfId="0" applyAlignment="1" applyBorder="1" applyFont="1">
      <alignment vertical="bottom"/>
    </xf>
    <xf borderId="14" fillId="8" fontId="1" numFmtId="0" xfId="0" applyAlignment="1" applyBorder="1" applyFill="1" applyFont="1">
      <alignment horizontal="center" readingOrder="0" vertical="center"/>
    </xf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readingOrder="0"/>
    </xf>
    <xf borderId="6" fillId="6" fontId="1" numFmtId="164" xfId="0" applyAlignment="1" applyBorder="1" applyFill="1" applyFont="1" applyNumberFormat="1">
      <alignment horizontal="center" readingOrder="0"/>
    </xf>
    <xf borderId="18" fillId="7" fontId="8" numFmtId="0" xfId="0" applyAlignment="1" applyBorder="1" applyFill="1" applyFont="1">
      <alignment horizontal="center" readingOrder="0" shrinkToFit="0" vertical="center" wrapText="0"/>
    </xf>
    <xf borderId="6" fillId="5" fontId="1" numFmtId="164" xfId="0" applyAlignment="1" applyBorder="1" applyFill="1" applyFont="1" applyNumberFormat="1">
      <alignment readingOrder="0"/>
    </xf>
    <xf borderId="19" fillId="9" fontId="9" numFmtId="0" xfId="0" applyAlignment="1" applyBorder="1" applyFill="1" applyFont="1">
      <alignment horizontal="center" readingOrder="0" shrinkToFit="0" vertical="center" wrapText="0"/>
    </xf>
    <xf borderId="6" fillId="10" fontId="1" numFmtId="164" xfId="0" applyAlignment="1" applyBorder="1" applyFill="1" applyFont="1" applyNumberFormat="1">
      <alignment readingOrder="0"/>
    </xf>
    <xf borderId="20" fillId="9" fontId="9" numFmtId="0" xfId="0" applyAlignment="1" applyBorder="1" applyFill="1" applyFont="1">
      <alignment horizontal="center" readingOrder="0" shrinkToFit="0" vertical="center" wrapText="0"/>
    </xf>
    <xf borderId="2" fillId="5" fontId="1" numFmtId="164" xfId="0" applyAlignment="1" applyBorder="1" applyFill="1" applyFont="1" applyNumberFormat="1">
      <alignment readingOrder="0"/>
    </xf>
    <xf borderId="20" fillId="9" fontId="10" numFmtId="0" xfId="0" applyAlignment="1" applyBorder="1" applyFill="1" applyFont="1">
      <alignment horizontal="center" readingOrder="0" shrinkToFit="0" vertical="center" wrapText="0"/>
    </xf>
    <xf borderId="21" fillId="5" fontId="6" numFmtId="164" xfId="0" applyAlignment="1" applyBorder="1" applyFill="1" applyFont="1" applyNumberFormat="1">
      <alignment horizontal="right" readingOrder="0" vertical="bottom"/>
    </xf>
    <xf borderId="22" fillId="5" fontId="6" numFmtId="164" xfId="0" applyAlignment="1" applyBorder="1" applyFill="1" applyFont="1" applyNumberFormat="1">
      <alignment horizontal="right" readingOrder="0" vertical="bottom"/>
    </xf>
    <xf borderId="23" fillId="9" fontId="9" numFmtId="0" xfId="0" applyAlignment="1" applyBorder="1" applyFill="1" applyFont="1">
      <alignment horizontal="center" readingOrder="0" shrinkToFit="0" vertical="center" wrapText="0"/>
    </xf>
    <xf borderId="6" fillId="5" fontId="6" numFmtId="164" xfId="0" applyAlignment="1" applyBorder="1" applyFill="1" applyFont="1" applyNumberFormat="1">
      <alignment horizontal="right" readingOrder="0" vertical="bottom"/>
    </xf>
    <xf borderId="6" fillId="0" fontId="1" numFmtId="164" xfId="0" applyBorder="1" applyFont="1" applyNumberFormat="1"/>
    <xf borderId="24" fillId="9" fontId="9" numFmtId="0" xfId="0" applyAlignment="1" applyBorder="1" applyFill="1" applyFont="1">
      <alignment horizontal="center" readingOrder="0" shrinkToFit="0" vertical="center" wrapText="0"/>
    </xf>
    <xf borderId="6" fillId="0" fontId="1" numFmtId="0" xfId="0" applyBorder="1" applyFont="1"/>
    <xf borderId="6" fillId="0" fontId="1" numFmtId="49" xfId="0" applyBorder="1" applyFont="1" applyNumberFormat="1"/>
    <xf borderId="0" fillId="0" fontId="11" numFmtId="0" xfId="0" applyFont="1"/>
    <xf borderId="6" fillId="0" fontId="1" numFmtId="164" xfId="0" applyAlignment="1" applyBorder="1" applyFont="1" applyNumberFormat="1">
      <alignment readingOrder="0"/>
    </xf>
    <xf borderId="25" fillId="0" fontId="12" numFmtId="0" xfId="0" applyAlignment="1" applyBorder="1" applyFont="1">
      <alignment horizontal="center" readingOrder="0" shrinkToFit="0" vertical="center" wrapText="0"/>
    </xf>
    <xf borderId="26" fillId="0" fontId="1" numFmtId="0" xfId="0" applyBorder="1" applyFont="1"/>
    <xf borderId="0" fillId="0" fontId="8" numFmtId="0" xfId="0" applyAlignment="1" applyFont="1">
      <alignment horizontal="center" readingOrder="0" shrinkToFit="0" vertical="center" wrapText="0"/>
    </xf>
    <xf borderId="27" fillId="0" fontId="3" numFmtId="0" xfId="0" applyBorder="1" applyFont="1"/>
    <xf borderId="28" fillId="0" fontId="8" numFmtId="0" xfId="0" applyAlignment="1" applyBorder="1" applyFont="1">
      <alignment horizontal="center" readingOrder="0" shrinkToFit="0" vertical="center" wrapText="0"/>
    </xf>
    <xf borderId="29" fillId="0" fontId="3" numFmtId="0" xfId="0" applyBorder="1" applyFont="1"/>
    <xf borderId="30" fillId="0" fontId="3" numFmtId="0" xfId="0" applyBorder="1" applyFont="1"/>
    <xf borderId="31" fillId="0" fontId="8" numFmtId="0" xfId="0" applyAlignment="1" applyBorder="1" applyFont="1">
      <alignment horizontal="center" readingOrder="0" shrinkToFit="0" vertical="center" wrapText="0"/>
    </xf>
    <xf borderId="0" fillId="5" fontId="13" numFmtId="164" xfId="0" applyAlignment="1" applyFill="1" applyFont="1" applyNumberFormat="1">
      <alignment horizontal="right" readingOrder="0"/>
    </xf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32" fillId="5" fontId="13" numFmtId="164" xfId="0" applyAlignment="1" applyBorder="1" applyFill="1" applyFont="1" applyNumberFormat="1">
      <alignment horizontal="right" readingOrder="0"/>
    </xf>
    <xf borderId="21" fillId="5" fontId="6" numFmtId="164" xfId="0" applyAlignment="1" applyBorder="1" applyFill="1" applyFont="1" applyNumberFormat="1">
      <alignment horizontal="right" vertical="bottom"/>
    </xf>
    <xf borderId="22" fillId="5" fontId="6" numFmtId="164" xfId="0" applyAlignment="1" applyBorder="1" applyFill="1" applyFont="1" applyNumberFormat="1">
      <alignment horizontal="right" vertical="bottom"/>
    </xf>
    <xf borderId="6" fillId="5" fontId="6" numFmtId="164" xfId="0" applyAlignment="1" applyBorder="1" applyFill="1" applyFont="1" applyNumberFormat="1">
      <alignment horizontal="right" vertical="bottom"/>
    </xf>
    <xf borderId="26" fillId="5" fontId="6" numFmtId="164" xfId="0" applyAlignment="1" applyBorder="1" applyFill="1" applyFont="1" applyNumberFormat="1">
      <alignment horizontal="right" vertical="bottom"/>
    </xf>
    <xf borderId="33" fillId="7" fontId="12" numFmtId="0" xfId="0" applyAlignment="1" applyBorder="1" applyFill="1" applyFont="1">
      <alignment horizontal="center" readingOrder="0" shrinkToFit="0" vertical="center" wrapText="0"/>
    </xf>
    <xf borderId="34" fillId="0" fontId="1" numFmtId="0" xfId="0" applyAlignment="1" applyBorder="1" applyFont="1">
      <alignment readingOrder="0"/>
    </xf>
    <xf borderId="35" fillId="5" fontId="1" numFmtId="164" xfId="0" applyAlignment="1" applyBorder="1" applyFill="1" applyFont="1" applyNumberFormat="1">
      <alignment readingOrder="0"/>
    </xf>
    <xf borderId="1" fillId="9" fontId="8" numFmtId="0" xfId="0" applyAlignment="1" applyBorder="1" applyFill="1" applyFont="1">
      <alignment horizontal="center" readingOrder="0" shrinkToFit="0" vertical="center" wrapText="0"/>
    </xf>
    <xf borderId="35" fillId="10" fontId="1" numFmtId="164" xfId="0" applyAlignment="1" applyBorder="1" applyFill="1" applyFont="1" applyNumberFormat="1">
      <alignment readingOrder="0"/>
    </xf>
    <xf borderId="36" fillId="5" fontId="13" numFmtId="164" xfId="0" applyAlignment="1" applyBorder="1" applyFill="1" applyFont="1" applyNumberFormat="1">
      <alignment horizontal="right" readingOrder="0"/>
    </xf>
    <xf borderId="37" fillId="5" fontId="6" numFmtId="164" xfId="0" applyAlignment="1" applyBorder="1" applyFill="1" applyFont="1" applyNumberFormat="1">
      <alignment horizontal="right" vertical="bottom"/>
    </xf>
    <xf borderId="38" fillId="0" fontId="3" numFmtId="0" xfId="0" applyBorder="1" applyFont="1"/>
    <xf borderId="28" fillId="5" fontId="6" numFmtId="164" xfId="0" applyAlignment="1" applyBorder="1" applyFill="1" applyFont="1" applyNumberFormat="1">
      <alignment horizontal="right" vertical="bottom"/>
    </xf>
    <xf borderId="6" fillId="10" fontId="1" numFmtId="0" xfId="0" applyAlignment="1" applyBorder="1" applyFill="1" applyFont="1">
      <alignment readingOrder="0"/>
    </xf>
    <xf borderId="3" fillId="10" fontId="1" numFmtId="0" xfId="0" applyAlignment="1" applyBorder="1" applyFill="1" applyFont="1">
      <alignment readingOrder="0"/>
    </xf>
    <xf borderId="6" fillId="5" fontId="1" numFmtId="166" xfId="0" applyAlignment="1" applyBorder="1" applyFill="1" applyFont="1" applyNumberFormat="1">
      <alignment readingOrder="0"/>
    </xf>
    <xf borderId="33" fillId="0" fontId="15" numFmtId="0" xfId="0" applyAlignment="1" applyBorder="1" applyFont="1">
      <alignment horizontal="center" readingOrder="0" shrinkToFit="0" vertical="center" wrapText="0"/>
    </xf>
    <xf borderId="6" fillId="5" fontId="13" numFmtId="164" xfId="0" applyAlignment="1" applyBorder="1" applyFill="1" applyFont="1" applyNumberFormat="1">
      <alignment horizontal="right" readingOrder="0"/>
    </xf>
    <xf borderId="3" fillId="5" fontId="16" numFmtId="0" xfId="0" applyAlignment="1" applyBorder="1" applyFill="1" applyFont="1">
      <alignment readingOrder="0" shrinkToFit="0" vertical="center" wrapText="0"/>
    </xf>
    <xf borderId="1" fillId="5" fontId="6" numFmtId="164" xfId="0" applyAlignment="1" applyBorder="1" applyFill="1" applyFont="1" applyNumberFormat="1">
      <alignment readingOrder="0" vertical="bottom"/>
    </xf>
    <xf borderId="6" fillId="5" fontId="16" numFmtId="167" xfId="0" applyAlignment="1" applyBorder="1" applyFill="1" applyFont="1" applyNumberFormat="1">
      <alignment horizontal="center" shrinkToFit="0" vertical="center" wrapText="0"/>
    </xf>
    <xf borderId="6" fillId="5" fontId="6" numFmtId="164" xfId="0" applyAlignment="1" applyBorder="1" applyFill="1" applyFont="1" applyNumberFormat="1">
      <alignment readingOrder="0" vertical="bottom"/>
    </xf>
    <xf borderId="26" fillId="5" fontId="1" numFmtId="164" xfId="0" applyAlignment="1" applyBorder="1" applyFill="1" applyFont="1" applyNumberFormat="1">
      <alignment readingOrder="0"/>
    </xf>
    <xf borderId="6" fillId="5" fontId="16" numFmtId="164" xfId="0" applyAlignment="1" applyBorder="1" applyFill="1" applyFont="1" applyNumberFormat="1">
      <alignment horizontal="center" readingOrder="0" shrinkToFit="0" vertical="center" wrapText="0"/>
    </xf>
    <xf borderId="1" fillId="11" fontId="1" numFmtId="0" xfId="0" applyAlignment="1" applyBorder="1" applyFill="1" applyFont="1">
      <alignment readingOrder="0"/>
    </xf>
    <xf borderId="6" fillId="5" fontId="16" numFmtId="0" xfId="0" applyAlignment="1" applyBorder="1" applyFill="1" applyFont="1">
      <alignment horizontal="center" shrinkToFit="0" vertical="center" wrapText="0"/>
    </xf>
    <xf borderId="6" fillId="8" fontId="1" numFmtId="0" xfId="0" applyBorder="1" applyFill="1" applyFont="1"/>
    <xf borderId="6" fillId="5" fontId="16" numFmtId="0" xfId="0" applyAlignment="1" applyBorder="1" applyFill="1" applyFont="1">
      <alignment horizontal="center" readingOrder="0" shrinkToFit="0" vertical="center" wrapText="0"/>
    </xf>
    <xf borderId="39" fillId="0" fontId="1" numFmtId="0" xfId="0" applyAlignment="1" applyBorder="1" applyFont="1">
      <alignment readingOrder="0"/>
    </xf>
    <xf borderId="6" fillId="5" fontId="16" numFmtId="164" xfId="0" applyAlignment="1" applyBorder="1" applyFill="1" applyFont="1" applyNumberFormat="1">
      <alignment horizontal="center" readingOrder="0" shrinkToFit="0" vertical="center" wrapText="0"/>
    </xf>
    <xf borderId="29" fillId="0" fontId="6" numFmtId="0" xfId="0" applyAlignment="1" applyBorder="1" applyFont="1">
      <alignment vertical="bottom"/>
    </xf>
    <xf borderId="40" fillId="0" fontId="6" numFmtId="0" xfId="0" applyAlignment="1" applyBorder="1" applyFont="1">
      <alignment vertical="bottom"/>
    </xf>
    <xf borderId="30" fillId="0" fontId="6" numFmtId="0" xfId="0" applyAlignment="1" applyBorder="1" applyFont="1">
      <alignment vertical="bottom"/>
    </xf>
    <xf borderId="1" fillId="5" fontId="1" numFmtId="0" xfId="0" applyAlignment="1" applyBorder="1" applyFill="1" applyFont="1">
      <alignment readingOrder="0"/>
    </xf>
    <xf borderId="8" fillId="0" fontId="1" numFmtId="0" xfId="0" applyAlignment="1" applyBorder="1" applyFont="1">
      <alignment readingOrder="0"/>
    </xf>
    <xf borderId="6" fillId="5" fontId="16" numFmtId="164" xfId="0" applyAlignment="1" applyBorder="1" applyFill="1" applyFont="1" applyNumberFormat="1">
      <alignment horizontal="center" shrinkToFit="0" vertical="center" wrapText="0"/>
    </xf>
    <xf borderId="2" fillId="5" fontId="16" numFmtId="0" xfId="0" applyAlignment="1" applyBorder="1" applyFill="1" applyFont="1">
      <alignment horizontal="center" readingOrder="0" shrinkToFit="0" vertical="center" wrapText="0"/>
    </xf>
    <xf borderId="41" fillId="5" fontId="16" numFmtId="0" xfId="0" applyAlignment="1" applyBorder="1" applyFill="1" applyFont="1">
      <alignment horizontal="center" readingOrder="0" shrinkToFit="0" vertical="center" wrapText="0"/>
    </xf>
    <xf borderId="9" fillId="0" fontId="17" numFmtId="164" xfId="0" applyBorder="1" applyFont="1" applyNumberFormat="1"/>
    <xf borderId="35" fillId="5" fontId="16" numFmtId="0" xfId="0" applyAlignment="1" applyBorder="1" applyFill="1" applyFont="1">
      <alignment horizontal="center" shrinkToFit="0" vertical="center" wrapText="0"/>
    </xf>
    <xf borderId="6" fillId="5" fontId="16" numFmtId="164" xfId="0" applyAlignment="1" applyBorder="1" applyFill="1" applyFont="1" applyNumberFormat="1">
      <alignment horizontal="center" shrinkToFit="0" vertical="center" wrapText="0"/>
    </xf>
    <xf borderId="0" fillId="0" fontId="1" numFmtId="0" xfId="0" applyAlignment="1" applyFont="1">
      <alignment horizontal="left"/>
    </xf>
    <xf borderId="42" fillId="0" fontId="17" numFmtId="164" xfId="0" applyBorder="1" applyFont="1" applyNumberFormat="1"/>
    <xf borderId="6" fillId="5" fontId="16" numFmtId="167" xfId="0" applyAlignment="1" applyBorder="1" applyFill="1" applyFont="1" applyNumberFormat="1">
      <alignment horizontal="center" readingOrder="0" shrinkToFit="0" vertical="center" wrapText="0"/>
    </xf>
    <xf borderId="43" fillId="0" fontId="18" numFmtId="164" xfId="0" applyAlignment="1" applyBorder="1" applyFont="1" applyNumberFormat="1">
      <alignment horizontal="right" vertical="bottom"/>
    </xf>
    <xf borderId="30" fillId="0" fontId="18" numFmtId="164" xfId="0" applyAlignment="1" applyBorder="1" applyFont="1" applyNumberFormat="1">
      <alignment horizontal="right" vertical="bottom"/>
    </xf>
    <xf borderId="6" fillId="5" fontId="19" numFmtId="164" xfId="0" applyAlignment="1" applyBorder="1" applyFill="1" applyFont="1" applyNumberFormat="1">
      <alignment horizontal="center" readingOrder="0" shrinkToFit="0" vertical="center" wrapText="0"/>
    </xf>
    <xf borderId="6" fillId="5" fontId="19" numFmtId="0" xfId="0" applyAlignment="1" applyBorder="1" applyFill="1" applyFont="1">
      <alignment horizontal="center" readingOrder="0" shrinkToFit="0" vertical="center" wrapText="0"/>
    </xf>
    <xf borderId="0" fillId="0" fontId="20" numFmtId="164" xfId="0" applyFont="1" applyNumberFormat="1"/>
    <xf borderId="44" fillId="5" fontId="16" numFmtId="0" xfId="0" applyAlignment="1" applyBorder="1" applyFill="1" applyFont="1">
      <alignment readingOrder="0" shrinkToFit="0" vertical="center" wrapText="0"/>
    </xf>
    <xf borderId="21" fillId="5" fontId="16" numFmtId="167" xfId="0" applyAlignment="1" applyBorder="1" applyFill="1" applyFont="1" applyNumberFormat="1">
      <alignment horizontal="center" readingOrder="0" shrinkToFit="0" vertical="center" wrapText="0"/>
    </xf>
    <xf borderId="8" fillId="3" fontId="4" numFmtId="0" xfId="0" applyAlignment="1" applyBorder="1" applyFill="1" applyFont="1">
      <alignment readingOrder="0"/>
    </xf>
    <xf borderId="21" fillId="5" fontId="19" numFmtId="164" xfId="0" applyAlignment="1" applyBorder="1" applyFill="1" applyFont="1" applyNumberFormat="1">
      <alignment horizontal="center" readingOrder="0" shrinkToFit="0" vertical="center" wrapText="0"/>
    </xf>
    <xf borderId="21" fillId="5" fontId="19" numFmtId="0" xfId="0" applyAlignment="1" applyBorder="1" applyFill="1" applyFont="1">
      <alignment horizontal="center" readingOrder="0" shrinkToFit="0" vertical="center" wrapText="0"/>
    </xf>
    <xf borderId="21" fillId="5" fontId="16" numFmtId="0" xfId="0" applyAlignment="1" applyBorder="1" applyFill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/>
    </xf>
    <xf borderId="12" fillId="5" fontId="16" numFmtId="0" xfId="0" applyAlignment="1" applyBorder="1" applyFill="1" applyFont="1">
      <alignment horizontal="center" readingOrder="0" shrinkToFit="0" vertical="center" wrapText="0"/>
    </xf>
    <xf borderId="1" fillId="5" fontId="16" numFmtId="0" xfId="0" applyAlignment="1" applyBorder="1" applyFill="1" applyFont="1">
      <alignment horizontal="center" readingOrder="0" shrinkToFit="0" vertical="center" wrapText="0"/>
    </xf>
    <xf borderId="45" fillId="0" fontId="6" numFmtId="0" xfId="0" applyAlignment="1" applyBorder="1" applyFont="1">
      <alignment vertical="bottom"/>
    </xf>
    <xf borderId="46" fillId="0" fontId="15" numFmtId="0" xfId="0" applyAlignment="1" applyBorder="1" applyFont="1">
      <alignment horizontal="center" readingOrder="0" shrinkToFit="0" vertical="center" wrapText="0"/>
    </xf>
    <xf borderId="21" fillId="5" fontId="16" numFmtId="0" xfId="0" applyAlignment="1" applyBorder="1" applyFill="1" applyFont="1">
      <alignment readingOrder="0" shrinkToFit="0" vertical="center" wrapText="0"/>
    </xf>
    <xf borderId="6" fillId="0" fontId="6" numFmtId="164" xfId="0" applyAlignment="1" applyBorder="1" applyFont="1" applyNumberFormat="1">
      <alignment horizontal="right" vertical="bottom"/>
    </xf>
    <xf borderId="21" fillId="5" fontId="16" numFmtId="167" xfId="0" applyAlignment="1" applyBorder="1" applyFill="1" applyFont="1" applyNumberFormat="1">
      <alignment horizontal="center" readingOrder="0" shrinkToFit="0" vertical="center" wrapText="0"/>
    </xf>
    <xf borderId="26" fillId="0" fontId="6" numFmtId="164" xfId="0" applyAlignment="1" applyBorder="1" applyFont="1" applyNumberFormat="1">
      <alignment horizontal="right" vertical="bottom"/>
    </xf>
    <xf borderId="47" fillId="5" fontId="16" numFmtId="0" xfId="0" applyAlignment="1" applyBorder="1" applyFill="1" applyFont="1">
      <alignment horizontal="center" readingOrder="0" shrinkToFit="0" vertical="center" wrapText="0"/>
    </xf>
    <xf borderId="26" fillId="5" fontId="6" numFmtId="164" xfId="0" applyAlignment="1" applyBorder="1" applyFill="1" applyFont="1" applyNumberFormat="1">
      <alignment horizontal="right" readingOrder="0" vertical="bottom"/>
    </xf>
    <xf borderId="0" fillId="0" fontId="4" numFmtId="0" xfId="0" applyFont="1"/>
    <xf borderId="48" fillId="0" fontId="15" numFmtId="0" xfId="0" applyAlignment="1" applyBorder="1" applyFont="1">
      <alignment horizontal="center" readingOrder="0" shrinkToFit="0" vertical="center" wrapText="0"/>
    </xf>
    <xf borderId="3" fillId="5" fontId="1" numFmtId="164" xfId="0" applyAlignment="1" applyBorder="1" applyFill="1" applyFont="1" applyNumberFormat="1">
      <alignment readingOrder="0"/>
    </xf>
    <xf borderId="26" fillId="5" fontId="13" numFmtId="164" xfId="0" applyAlignment="1" applyBorder="1" applyFill="1" applyFont="1" applyNumberFormat="1">
      <alignment horizontal="right" readingOrder="0"/>
    </xf>
    <xf borderId="6" fillId="5" fontId="21" numFmtId="164" xfId="0" applyAlignment="1" applyBorder="1" applyFill="1" applyFont="1" applyNumberFormat="1">
      <alignment horizontal="right" readingOrder="0"/>
    </xf>
    <xf borderId="6" fillId="0" fontId="21" numFmtId="164" xfId="0" applyAlignment="1" applyBorder="1" applyFont="1" applyNumberFormat="1">
      <alignment horizontal="right" readingOrder="0"/>
    </xf>
    <xf borderId="6" fillId="0" fontId="22" numFmtId="164" xfId="0" applyAlignment="1" applyBorder="1" applyFont="1" applyNumberFormat="1">
      <alignment horizontal="right" readingOrder="0"/>
    </xf>
    <xf borderId="6" fillId="0" fontId="0" numFmtId="164" xfId="0" applyAlignment="1" applyBorder="1" applyFont="1" applyNumberFormat="1">
      <alignment horizontal="right" readingOrder="0"/>
    </xf>
    <xf borderId="26" fillId="0" fontId="0" numFmtId="164" xfId="0" applyAlignment="1" applyBorder="1" applyFont="1" applyNumberFormat="1">
      <alignment horizontal="right" readingOrder="0"/>
    </xf>
    <xf borderId="26" fillId="0" fontId="22" numFmtId="164" xfId="0" applyAlignment="1" applyBorder="1" applyFont="1" applyNumberFormat="1">
      <alignment horizontal="right" readingOrder="0"/>
    </xf>
    <xf borderId="49" fillId="0" fontId="1" numFmtId="0" xfId="0" applyAlignment="1" applyBorder="1" applyFont="1">
      <alignment readingOrder="0"/>
    </xf>
    <xf borderId="21" fillId="5" fontId="21" numFmtId="164" xfId="0" applyAlignment="1" applyBorder="1" applyFill="1" applyFont="1" applyNumberFormat="1">
      <alignment horizontal="right" readingOrder="0"/>
    </xf>
    <xf borderId="3" fillId="5" fontId="16" numFmtId="0" xfId="0" applyAlignment="1" applyBorder="1" applyFill="1" applyFont="1">
      <alignment shrinkToFit="0" vertical="center" wrapText="0"/>
    </xf>
    <xf borderId="21" fillId="0" fontId="22" numFmtId="164" xfId="0" applyAlignment="1" applyBorder="1" applyFont="1" applyNumberFormat="1">
      <alignment horizontal="right" readingOrder="0"/>
    </xf>
    <xf borderId="50" fillId="0" fontId="22" numFmtId="164" xfId="0" applyAlignment="1" applyBorder="1" applyFont="1" applyNumberFormat="1">
      <alignment horizontal="right" readingOrder="0"/>
    </xf>
    <xf borderId="51" fillId="0" fontId="18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readingOrder="0"/>
    </xf>
    <xf borderId="8" fillId="4" fontId="4" numFmtId="0" xfId="0" applyAlignment="1" applyBorder="1" applyFill="1" applyFont="1">
      <alignment readingOrder="0"/>
    </xf>
    <xf borderId="9" fillId="12" fontId="1" numFmtId="0" xfId="0" applyAlignment="1" applyBorder="1" applyFill="1" applyFont="1">
      <alignment horizontal="center" readingOrder="0"/>
    </xf>
    <xf borderId="0" fillId="5" fontId="16" numFmtId="167" xfId="0" applyAlignment="1" applyFill="1" applyFont="1" applyNumberFormat="1">
      <alignment horizontal="center" readingOrder="0" shrinkToFit="0" vertical="center" wrapText="0"/>
    </xf>
    <xf borderId="9" fillId="13" fontId="1" numFmtId="0" xfId="0" applyAlignment="1" applyBorder="1" applyFill="1" applyFont="1">
      <alignment horizontal="center" readingOrder="0"/>
    </xf>
    <xf borderId="9" fillId="13" fontId="6" numFmtId="0" xfId="0" applyAlignment="1" applyBorder="1" applyFill="1" applyFont="1">
      <alignment horizontal="center" readingOrder="0" vertical="bottom"/>
    </xf>
    <xf borderId="48" fillId="0" fontId="15" numFmtId="0" xfId="0" applyAlignment="1" applyBorder="1" applyFont="1">
      <alignment horizontal="center" readingOrder="0" shrinkToFit="0" vertical="center" wrapText="0"/>
    </xf>
    <xf borderId="9" fillId="10" fontId="6" numFmtId="0" xfId="0" applyAlignment="1" applyBorder="1" applyFill="1" applyFont="1">
      <alignment horizontal="center" readingOrder="0" vertical="bottom"/>
    </xf>
    <xf borderId="12" fillId="5" fontId="16" numFmtId="167" xfId="0" applyAlignment="1" applyBorder="1" applyFill="1" applyFont="1" applyNumberFormat="1">
      <alignment horizontal="center" readingOrder="0" shrinkToFit="0" vertical="center" wrapText="0"/>
    </xf>
    <xf borderId="10" fillId="10" fontId="6" numFmtId="0" xfId="0" applyAlignment="1" applyBorder="1" applyFill="1" applyFont="1">
      <alignment horizontal="center" readingOrder="0" vertical="bottom"/>
    </xf>
    <xf borderId="1" fillId="8" fontId="1" numFmtId="0" xfId="0" applyAlignment="1" applyBorder="1" applyFill="1" applyFont="1">
      <alignment horizontal="center" readingOrder="0"/>
    </xf>
    <xf borderId="6" fillId="5" fontId="16" numFmtId="168" xfId="0" applyAlignment="1" applyBorder="1" applyFill="1" applyFont="1" applyNumberFormat="1">
      <alignment horizontal="center" readingOrder="0" shrinkToFit="0" vertical="center" wrapText="0"/>
    </xf>
    <xf borderId="6" fillId="0" fontId="6" numFmtId="164" xfId="0" applyAlignment="1" applyBorder="1" applyFont="1" applyNumberFormat="1">
      <alignment horizontal="right" readingOrder="0" vertical="bottom"/>
    </xf>
    <xf borderId="0" fillId="0" fontId="14" numFmtId="0" xfId="0" applyFont="1"/>
    <xf borderId="6" fillId="0" fontId="1" numFmtId="0" xfId="0" applyAlignment="1" applyBorder="1" applyFont="1">
      <alignment horizontal="left" readingOrder="0"/>
    </xf>
    <xf borderId="6" fillId="5" fontId="1" numFmtId="164" xfId="0" applyAlignment="1" applyBorder="1" applyFill="1" applyFont="1" applyNumberFormat="1">
      <alignment horizontal="right" readingOrder="0"/>
    </xf>
    <xf borderId="6" fillId="0" fontId="1" numFmtId="164" xfId="0" applyAlignment="1" applyBorder="1" applyFont="1" applyNumberFormat="1">
      <alignment horizontal="right" readingOrder="0"/>
    </xf>
    <xf borderId="3" fillId="0" fontId="1" numFmtId="164" xfId="0" applyAlignment="1" applyBorder="1" applyFont="1" applyNumberFormat="1">
      <alignment horizontal="right" readingOrder="0"/>
    </xf>
    <xf borderId="6" fillId="5" fontId="16" numFmtId="0" xfId="0" applyAlignment="1" applyBorder="1" applyFill="1" applyFont="1">
      <alignment horizontal="left" readingOrder="0" shrinkToFit="0" vertical="center" wrapText="0"/>
    </xf>
    <xf borderId="32" fillId="0" fontId="1" numFmtId="0" xfId="0" applyBorder="1" applyFont="1"/>
    <xf borderId="26" fillId="0" fontId="6" numFmtId="164" xfId="0" applyAlignment="1" applyBorder="1" applyFont="1" applyNumberFormat="1">
      <alignment horizontal="right" readingOrder="0" vertical="bottom"/>
    </xf>
    <xf borderId="3" fillId="5" fontId="1" numFmtId="164" xfId="0" applyAlignment="1" applyBorder="1" applyFill="1" applyFont="1" applyNumberFormat="1">
      <alignment horizontal="right" readingOrder="0"/>
    </xf>
    <xf borderId="6" fillId="5" fontId="16" numFmtId="0" xfId="0" applyAlignment="1" applyBorder="1" applyFill="1" applyFont="1">
      <alignment readingOrder="0" shrinkToFit="0" vertical="center" wrapText="0"/>
    </xf>
    <xf borderId="6" fillId="5" fontId="16" numFmtId="167" xfId="0" applyAlignment="1" applyBorder="1" applyFill="1" applyFont="1" applyNumberFormat="1">
      <alignment horizontal="center" readingOrder="0" shrinkToFit="0" vertical="center" wrapText="0"/>
    </xf>
    <xf borderId="6" fillId="0" fontId="6" numFmtId="0" xfId="0" applyAlignment="1" applyBorder="1" applyFont="1">
      <alignment vertical="bottom"/>
    </xf>
    <xf borderId="6" fillId="0" fontId="6" numFmtId="164" xfId="0" applyAlignment="1" applyBorder="1" applyFont="1" applyNumberFormat="1">
      <alignment readingOrder="0" vertical="bottom"/>
    </xf>
    <xf borderId="26" fillId="0" fontId="6" numFmtId="164" xfId="0" applyAlignment="1" applyBorder="1" applyFont="1" applyNumberFormat="1">
      <alignment readingOrder="0" vertical="bottom"/>
    </xf>
    <xf borderId="6" fillId="0" fontId="1" numFmtId="0" xfId="0" applyAlignment="1" applyBorder="1" applyFont="1">
      <alignment readingOrder="0"/>
    </xf>
    <xf borderId="52" fillId="0" fontId="15" numFmtId="0" xfId="0" applyAlignment="1" applyBorder="1" applyFont="1">
      <alignment horizontal="center" readingOrder="0" shrinkToFit="0" vertical="center" wrapText="0"/>
    </xf>
    <xf borderId="26" fillId="0" fontId="6" numFmtId="0" xfId="0" applyAlignment="1" applyBorder="1" applyFont="1">
      <alignment vertical="bottom"/>
    </xf>
    <xf borderId="6" fillId="5" fontId="16" numFmtId="169" xfId="0" applyAlignment="1" applyBorder="1" applyFill="1" applyFont="1" applyNumberFormat="1">
      <alignment horizontal="center" readingOrder="0" shrinkToFit="0" vertical="center" wrapText="0"/>
    </xf>
    <xf borderId="53" fillId="0" fontId="1" numFmtId="0" xfId="0" applyAlignment="1" applyBorder="1" applyFont="1">
      <alignment readingOrder="0"/>
    </xf>
    <xf borderId="6" fillId="5" fontId="16" numFmtId="164" xfId="0" applyAlignment="1" applyBorder="1" applyFill="1" applyFont="1" applyNumberFormat="1">
      <alignment horizontal="center" readingOrder="0"/>
    </xf>
    <xf borderId="43" fillId="0" fontId="17" numFmtId="164" xfId="0" applyBorder="1" applyFont="1" applyNumberFormat="1"/>
    <xf borderId="40" fillId="0" fontId="17" numFmtId="164" xfId="0" applyBorder="1" applyFont="1" applyNumberFormat="1"/>
    <xf borderId="6" fillId="5" fontId="23" numFmtId="0" xfId="0" applyAlignment="1" applyBorder="1" applyFill="1" applyFont="1">
      <alignment readingOrder="0" shrinkToFit="0" vertical="center" wrapText="0"/>
    </xf>
    <xf borderId="6" fillId="5" fontId="23" numFmtId="169" xfId="0" applyAlignment="1" applyBorder="1" applyFill="1" applyFont="1" applyNumberFormat="1">
      <alignment horizontal="center" readingOrder="0"/>
    </xf>
    <xf borderId="6" fillId="5" fontId="23" numFmtId="167" xfId="0" applyAlignment="1" applyBorder="1" applyFill="1" applyFont="1" applyNumberFormat="1">
      <alignment horizontal="center" readingOrder="0" shrinkToFit="0" vertical="center" wrapText="0"/>
    </xf>
    <xf borderId="6" fillId="5" fontId="23" numFmtId="164" xfId="0" applyAlignment="1" applyBorder="1" applyFill="1" applyFont="1" applyNumberFormat="1">
      <alignment horizontal="center" readingOrder="0"/>
    </xf>
    <xf borderId="6" fillId="5" fontId="23" numFmtId="0" xfId="0" applyAlignment="1" applyBorder="1" applyFill="1" applyFont="1">
      <alignment horizontal="center" readingOrder="0" shrinkToFit="0" vertical="center" wrapText="0"/>
    </xf>
    <xf borderId="6" fillId="14" fontId="1" numFmtId="164" xfId="0" applyBorder="1" applyFill="1" applyFont="1" applyNumberFormat="1"/>
    <xf borderId="6" fillId="5" fontId="23" numFmtId="164" xfId="0" applyAlignment="1" applyBorder="1" applyFill="1" applyFont="1" applyNumberFormat="1">
      <alignment horizontal="center"/>
    </xf>
    <xf borderId="8" fillId="6" fontId="4" numFmtId="0" xfId="0" applyAlignment="1" applyBorder="1" applyFill="1" applyFont="1">
      <alignment readingOrder="0"/>
    </xf>
    <xf borderId="9" fillId="15" fontId="1" numFmtId="0" xfId="0" applyAlignment="1" applyBorder="1" applyFill="1" applyFont="1">
      <alignment horizontal="center" readingOrder="0"/>
    </xf>
    <xf borderId="6" fillId="5" fontId="23" numFmtId="164" xfId="0" applyAlignment="1" applyBorder="1" applyFill="1" applyFont="1" applyNumberFormat="1">
      <alignment horizontal="center" shrinkToFit="0" vertical="center" wrapText="0"/>
    </xf>
    <xf borderId="10" fillId="13" fontId="6" numFmtId="0" xfId="0" applyAlignment="1" applyBorder="1" applyFill="1" applyFont="1">
      <alignment horizontal="center" readingOrder="0" vertical="bottom"/>
    </xf>
    <xf borderId="41" fillId="5" fontId="23" numFmtId="0" xfId="0" applyAlignment="1" applyBorder="1" applyFill="1" applyFont="1">
      <alignment horizontal="center" readingOrder="0" shrinkToFit="0" vertical="center" wrapText="0"/>
    </xf>
    <xf borderId="6" fillId="0" fontId="13" numFmtId="164" xfId="0" applyAlignment="1" applyBorder="1" applyFont="1" applyNumberFormat="1">
      <alignment horizontal="right" readingOrder="0"/>
    </xf>
    <xf borderId="35" fillId="5" fontId="1" numFmtId="164" xfId="0" applyAlignment="1" applyBorder="1" applyFill="1" applyFont="1" applyNumberFormat="1">
      <alignment horizontal="right" readingOrder="0"/>
    </xf>
    <xf borderId="54" fillId="0" fontId="1" numFmtId="164" xfId="0" applyAlignment="1" applyBorder="1" applyFont="1" applyNumberFormat="1">
      <alignment horizontal="right" readingOrder="0"/>
    </xf>
    <xf borderId="35" fillId="0" fontId="1" numFmtId="164" xfId="0" applyAlignment="1" applyBorder="1" applyFont="1" applyNumberFormat="1">
      <alignment horizontal="right" readingOrder="0"/>
    </xf>
    <xf borderId="35" fillId="0" fontId="13" numFmtId="164" xfId="0" applyAlignment="1" applyBorder="1" applyFont="1" applyNumberFormat="1">
      <alignment horizontal="right" readingOrder="0"/>
    </xf>
    <xf borderId="35" fillId="0" fontId="6" numFmtId="164" xfId="0" applyAlignment="1" applyBorder="1" applyFont="1" applyNumberFormat="1">
      <alignment horizontal="right" readingOrder="0" vertical="bottom"/>
    </xf>
    <xf borderId="22" fillId="0" fontId="1" numFmtId="164" xfId="0" applyAlignment="1" applyBorder="1" applyFont="1" applyNumberFormat="1">
      <alignment horizontal="right" readingOrder="0"/>
    </xf>
    <xf borderId="45" fillId="0" fontId="6" numFmtId="164" xfId="0" applyAlignment="1" applyBorder="1" applyFont="1" applyNumberFormat="1">
      <alignment horizontal="right" readingOrder="0" vertical="bottom"/>
    </xf>
    <xf borderId="21" fillId="0" fontId="1" numFmtId="0" xfId="0" applyBorder="1" applyFont="1"/>
    <xf borderId="6" fillId="5" fontId="23" numFmtId="164" xfId="0" applyAlignment="1" applyBorder="1" applyFill="1" applyFont="1" applyNumberFormat="1">
      <alignment horizontal="center" readingOrder="0" shrinkToFit="0" vertical="center" wrapText="0"/>
    </xf>
    <xf borderId="21" fillId="5" fontId="1" numFmtId="164" xfId="0" applyAlignment="1" applyBorder="1" applyFill="1" applyFont="1" applyNumberFormat="1">
      <alignment readingOrder="0"/>
    </xf>
    <xf borderId="44" fillId="5" fontId="1" numFmtId="164" xfId="0" applyAlignment="1" applyBorder="1" applyFill="1" applyFont="1" applyNumberFormat="1">
      <alignment readingOrder="0"/>
    </xf>
    <xf borderId="21" fillId="5" fontId="6" numFmtId="164" xfId="0" applyAlignment="1" applyBorder="1" applyFill="1" applyFont="1" applyNumberFormat="1">
      <alignment readingOrder="0" vertical="bottom"/>
    </xf>
    <xf borderId="6" fillId="5" fontId="23" numFmtId="164" xfId="0" applyAlignment="1" applyBorder="1" applyFill="1" applyFont="1" applyNumberFormat="1">
      <alignment horizontal="center" readingOrder="0" shrinkToFit="0" vertical="center" wrapText="0"/>
    </xf>
    <xf borderId="21" fillId="3" fontId="6" numFmtId="164" xfId="0" applyAlignment="1" applyBorder="1" applyFill="1" applyFont="1" applyNumberFormat="1">
      <alignment readingOrder="0" vertical="bottom"/>
    </xf>
    <xf borderId="50" fillId="3" fontId="6" numFmtId="164" xfId="0" applyAlignment="1" applyBorder="1" applyFill="1" applyFont="1" applyNumberFormat="1">
      <alignment readingOrder="0" vertical="bottom"/>
    </xf>
    <xf borderId="6" fillId="14" fontId="24" numFmtId="0" xfId="0" applyAlignment="1" applyBorder="1" applyFill="1" applyFont="1">
      <alignment horizontal="center" readingOrder="0"/>
    </xf>
    <xf borderId="21" fillId="0" fontId="1" numFmtId="164" xfId="0" applyAlignment="1" applyBorder="1" applyFont="1" applyNumberFormat="1">
      <alignment readingOrder="0"/>
    </xf>
    <xf borderId="0" fillId="0" fontId="25" numFmtId="0" xfId="0" applyFont="1"/>
    <xf borderId="50" fillId="0" fontId="1" numFmtId="164" xfId="0" applyAlignment="1" applyBorder="1" applyFont="1" applyNumberFormat="1">
      <alignment readingOrder="0"/>
    </xf>
    <xf borderId="6" fillId="0" fontId="21" numFmtId="0" xfId="0" applyAlignment="1" applyBorder="1" applyFont="1">
      <alignment horizontal="right" readingOrder="0"/>
    </xf>
    <xf borderId="6" fillId="0" fontId="0" numFmtId="164" xfId="0" applyAlignment="1" applyBorder="1" applyFont="1" applyNumberFormat="1">
      <alignment readingOrder="0"/>
    </xf>
    <xf borderId="21" fillId="0" fontId="6" numFmtId="0" xfId="0" applyAlignment="1" applyBorder="1" applyFont="1">
      <alignment vertical="bottom"/>
    </xf>
    <xf borderId="50" fillId="0" fontId="6" numFmtId="0" xfId="0" applyAlignment="1" applyBorder="1" applyFont="1">
      <alignment vertical="bottom"/>
    </xf>
    <xf borderId="35" fillId="0" fontId="1" numFmtId="0" xfId="0" applyBorder="1" applyFont="1"/>
    <xf borderId="55" fillId="0" fontId="6" numFmtId="0" xfId="0" applyAlignment="1" applyBorder="1" applyFont="1">
      <alignment vertical="bottom"/>
    </xf>
    <xf borderId="56" fillId="0" fontId="6" numFmtId="0" xfId="0" applyAlignment="1" applyBorder="1" applyFont="1">
      <alignment vertical="bottom"/>
    </xf>
    <xf borderId="6" fillId="0" fontId="21" numFmtId="164" xfId="0" applyAlignment="1" applyBorder="1" applyFont="1" applyNumberFormat="1">
      <alignment readingOrder="0"/>
    </xf>
    <xf borderId="0" fillId="0" fontId="26" numFmtId="4" xfId="0" applyAlignment="1" applyFont="1" applyNumberFormat="1">
      <alignment horizontal="center"/>
    </xf>
    <xf borderId="0" fillId="0" fontId="27" numFmtId="0" xfId="0" applyAlignment="1" applyFont="1">
      <alignment horizontal="center" readingOrder="0"/>
    </xf>
    <xf borderId="0" fillId="0" fontId="27" numFmtId="0" xfId="0" applyAlignment="1" applyFont="1">
      <alignment readingOrder="0"/>
    </xf>
    <xf borderId="6" fillId="5" fontId="23" numFmtId="169" xfId="0" applyAlignment="1" applyBorder="1" applyFill="1" applyFont="1" applyNumberFormat="1">
      <alignment horizontal="center" readingOrder="0" shrinkToFit="0" vertical="center" wrapText="0"/>
    </xf>
    <xf borderId="6" fillId="14" fontId="28" numFmtId="0" xfId="0" applyAlignment="1" applyBorder="1" applyFill="1" applyFont="1">
      <alignment horizontal="center" readingOrder="0"/>
    </xf>
    <xf borderId="6" fillId="16" fontId="1" numFmtId="164" xfId="0" applyAlignment="1" applyBorder="1" applyFill="1" applyFont="1" applyNumberFormat="1">
      <alignment readingOrder="0"/>
    </xf>
    <xf borderId="0" fillId="0" fontId="29" numFmtId="0" xfId="0" applyFont="1"/>
    <xf borderId="6" fillId="0" fontId="28" numFmtId="0" xfId="0" applyAlignment="1" applyBorder="1" applyFont="1">
      <alignment horizontal="center" readingOrder="0"/>
    </xf>
    <xf borderId="6" fillId="5" fontId="23" numFmtId="0" xfId="0" applyAlignment="1" applyBorder="1" applyFill="1" applyFont="1">
      <alignment horizontal="center" readingOrder="0" shrinkToFit="0" vertical="center" wrapText="0"/>
    </xf>
    <xf borderId="6" fillId="0" fontId="30" numFmtId="0" xfId="0" applyBorder="1" applyFont="1"/>
    <xf borderId="6" fillId="5" fontId="16" numFmtId="169" xfId="0" applyAlignment="1" applyBorder="1" applyFill="1" applyFont="1" applyNumberFormat="1">
      <alignment horizontal="center" readingOrder="0"/>
    </xf>
    <xf borderId="6" fillId="0" fontId="30" numFmtId="164" xfId="0" applyAlignment="1" applyBorder="1" applyFont="1" applyNumberFormat="1">
      <alignment readingOrder="0"/>
    </xf>
    <xf borderId="6" fillId="5" fontId="16" numFmtId="164" xfId="0" applyAlignment="1" applyBorder="1" applyFill="1" applyFont="1" applyNumberFormat="1">
      <alignment horizontal="center"/>
    </xf>
    <xf borderId="1" fillId="14" fontId="31" numFmtId="4" xfId="0" applyAlignment="1" applyBorder="1" applyFill="1" applyFont="1" applyNumberFormat="1">
      <alignment horizontal="center" readingOrder="0"/>
    </xf>
    <xf borderId="6" fillId="0" fontId="0" numFmtId="0" xfId="0" applyAlignment="1" applyBorder="1" applyFont="1">
      <alignment horizontal="right" readingOrder="0"/>
    </xf>
    <xf borderId="6" fillId="0" fontId="24" numFmtId="0" xfId="0" applyAlignment="1" applyBorder="1" applyFont="1">
      <alignment horizontal="center" readingOrder="0"/>
    </xf>
    <xf borderId="21" fillId="3" fontId="1" numFmtId="164" xfId="0" applyAlignment="1" applyBorder="1" applyFill="1" applyFont="1" applyNumberFormat="1">
      <alignment readingOrder="0"/>
    </xf>
    <xf borderId="12" fillId="3" fontId="1" numFmtId="164" xfId="0" applyAlignment="1" applyBorder="1" applyFill="1" applyFont="1" applyNumberFormat="1">
      <alignment readingOrder="0"/>
    </xf>
    <xf borderId="44" fillId="3" fontId="1" numFmtId="164" xfId="0" applyAlignment="1" applyBorder="1" applyFill="1" applyFont="1" applyNumberFormat="1">
      <alignment readingOrder="0"/>
    </xf>
    <xf borderId="6" fillId="0" fontId="30" numFmtId="164" xfId="0" applyAlignment="1" applyBorder="1" applyFont="1" applyNumberFormat="1">
      <alignment readingOrder="0"/>
    </xf>
    <xf borderId="6" fillId="0" fontId="26" numFmtId="4" xfId="0" applyAlignment="1" applyBorder="1" applyFont="1" applyNumberFormat="1">
      <alignment horizontal="center"/>
    </xf>
    <xf borderId="0" fillId="0" fontId="28" numFmtId="0" xfId="0" applyAlignment="1" applyFont="1">
      <alignment horizontal="center" readingOrder="0"/>
    </xf>
    <xf borderId="57" fillId="14" fontId="28" numFmtId="0" xfId="0" applyAlignment="1" applyBorder="1" applyFill="1" applyFont="1">
      <alignment horizontal="center" readingOrder="0"/>
    </xf>
    <xf borderId="58" fillId="14" fontId="20" numFmtId="164" xfId="0" applyBorder="1" applyFill="1" applyFont="1" applyNumberFormat="1"/>
    <xf borderId="41" fillId="5" fontId="32" numFmtId="0" xfId="0" applyAlignment="1" applyBorder="1" applyFill="1" applyFont="1">
      <alignment horizontal="center" readingOrder="0" shrinkToFit="0" vertical="center" wrapText="0"/>
    </xf>
    <xf borderId="59" fillId="14" fontId="31" numFmtId="164" xfId="0" applyAlignment="1" applyBorder="1" applyFill="1" applyFont="1" applyNumberFormat="1">
      <alignment horizontal="center"/>
    </xf>
    <xf borderId="60" fillId="14" fontId="31" numFmtId="164" xfId="0" applyAlignment="1" applyBorder="1" applyFill="1" applyFont="1" applyNumberFormat="1">
      <alignment horizontal="center"/>
    </xf>
    <xf borderId="33" fillId="17" fontId="15" numFmtId="0" xfId="0" applyAlignment="1" applyBorder="1" applyFill="1" applyFont="1">
      <alignment horizontal="center" readingOrder="0" shrinkToFit="0" vertical="center" wrapText="0"/>
    </xf>
    <xf borderId="3" fillId="5" fontId="23" numFmtId="0" xfId="0" applyAlignment="1" applyBorder="1" applyFill="1" applyFont="1">
      <alignment readingOrder="0" shrinkToFit="0" vertical="center" wrapText="0"/>
    </xf>
    <xf borderId="6" fillId="5" fontId="16" numFmtId="168" xfId="0" applyAlignment="1" applyBorder="1" applyFill="1" applyFont="1" applyNumberFormat="1">
      <alignment horizontal="center" readingOrder="0"/>
    </xf>
    <xf borderId="6" fillId="5" fontId="16" numFmtId="0" xfId="0" applyAlignment="1" applyBorder="1" applyFill="1" applyFont="1">
      <alignment horizontal="center" readingOrder="0"/>
    </xf>
    <xf borderId="1" fillId="5" fontId="16" numFmtId="164" xfId="0" applyAlignment="1" applyBorder="1" applyFill="1" applyFont="1" applyNumberFormat="1">
      <alignment horizontal="center"/>
    </xf>
    <xf borderId="1" fillId="5" fontId="23" numFmtId="0" xfId="0" applyAlignment="1" applyBorder="1" applyFill="1" applyFont="1">
      <alignment readingOrder="0" shrinkToFit="0" vertical="center" wrapText="0"/>
    </xf>
    <xf borderId="1" fillId="5" fontId="23" numFmtId="169" xfId="0" applyAlignment="1" applyBorder="1" applyFill="1" applyFont="1" applyNumberFormat="1">
      <alignment horizontal="center" readingOrder="0"/>
    </xf>
    <xf borderId="1" fillId="5" fontId="23" numFmtId="169" xfId="0" applyAlignment="1" applyBorder="1" applyFill="1" applyFont="1" applyNumberFormat="1">
      <alignment horizontal="center" readingOrder="0" shrinkToFit="0" vertical="center" wrapText="0"/>
    </xf>
    <xf borderId="1" fillId="5" fontId="23" numFmtId="164" xfId="0" applyAlignment="1" applyBorder="1" applyFill="1" applyFont="1" applyNumberFormat="1">
      <alignment horizontal="center" readingOrder="0"/>
    </xf>
    <xf borderId="1" fillId="5" fontId="23" numFmtId="0" xfId="0" applyAlignment="1" applyBorder="1" applyFill="1" applyFont="1">
      <alignment horizontal="center" readingOrder="0" shrinkToFit="0" vertical="center" wrapText="0"/>
    </xf>
    <xf borderId="1" fillId="5" fontId="23" numFmtId="164" xfId="0" applyAlignment="1" applyBorder="1" applyFill="1" applyFont="1" applyNumberFormat="1">
      <alignment horizontal="center"/>
    </xf>
    <xf borderId="1" fillId="5" fontId="16" numFmtId="0" xfId="0" applyAlignment="1" applyBorder="1" applyFill="1" applyFont="1">
      <alignment readingOrder="0" shrinkToFit="0" vertical="center" wrapText="0"/>
    </xf>
    <xf borderId="1" fillId="5" fontId="16" numFmtId="169" xfId="0" applyAlignment="1" applyBorder="1" applyFill="1" applyFont="1" applyNumberFormat="1">
      <alignment horizontal="center" readingOrder="0"/>
    </xf>
    <xf borderId="1" fillId="5" fontId="16" numFmtId="169" xfId="0" applyAlignment="1" applyBorder="1" applyFill="1" applyFont="1" applyNumberFormat="1">
      <alignment horizontal="center" readingOrder="0" shrinkToFit="0" vertical="center" wrapText="0"/>
    </xf>
    <xf borderId="1" fillId="5" fontId="16" numFmtId="164" xfId="0" applyAlignment="1" applyBorder="1" applyFill="1" applyFont="1" applyNumberFormat="1">
      <alignment horizontal="center" readingOrder="0"/>
    </xf>
    <xf borderId="0" fillId="0" fontId="33" numFmtId="0" xfId="0" applyFont="1"/>
    <xf borderId="1" fillId="5" fontId="19" numFmtId="164" xfId="0" applyAlignment="1" applyBorder="1" applyFill="1" applyFont="1" applyNumberFormat="1">
      <alignment horizontal="center" readingOrder="0" shrinkToFit="0" vertical="center" wrapText="0"/>
    </xf>
    <xf borderId="3" fillId="5" fontId="16" numFmtId="0" xfId="0" applyAlignment="1" applyBorder="1" applyFill="1" applyFont="1">
      <alignment horizontal="center" readingOrder="0" shrinkToFit="0" vertical="center" wrapText="0"/>
    </xf>
    <xf borderId="0" fillId="0" fontId="33" numFmtId="0" xfId="0" applyAlignment="1" applyFont="1">
      <alignment horizontal="center" readingOrder="0"/>
    </xf>
    <xf borderId="0" fillId="0" fontId="33" numFmtId="0" xfId="0" applyAlignment="1" applyFont="1">
      <alignment readingOrder="0"/>
    </xf>
    <xf borderId="0" fillId="0" fontId="10" numFmtId="0" xfId="0" applyFont="1"/>
    <xf borderId="0" fillId="0" fontId="34" numFmtId="0" xfId="0" applyAlignment="1" applyFont="1">
      <alignment horizontal="center" readingOrder="0"/>
    </xf>
    <xf borderId="0" fillId="0" fontId="34" numFmtId="0" xfId="0" applyAlignment="1" applyFont="1">
      <alignment readingOrder="0"/>
    </xf>
    <xf borderId="61" fillId="5" fontId="16" numFmtId="164" xfId="0" applyAlignment="1" applyBorder="1" applyFill="1" applyFont="1" applyNumberFormat="1">
      <alignment horizontal="center" shrinkToFit="0" vertical="center" wrapText="0"/>
    </xf>
    <xf borderId="3" fillId="5" fontId="35" numFmtId="0" xfId="0" applyAlignment="1" applyBorder="1" applyFill="1" applyFont="1">
      <alignment horizontal="center" readingOrder="0" shrinkToFit="0" vertical="center" wrapText="0"/>
    </xf>
    <xf borderId="0" fillId="0" fontId="36" numFmtId="0" xfId="0" applyFont="1"/>
    <xf borderId="33" fillId="0" fontId="37" numFmtId="0" xfId="0" applyAlignment="1" applyBorder="1" applyFont="1">
      <alignment horizontal="center" readingOrder="0" shrinkToFit="0" vertical="center" wrapText="0"/>
    </xf>
    <xf borderId="1" fillId="5" fontId="16" numFmtId="164" xfId="0" applyAlignment="1" applyBorder="1" applyFill="1" applyFont="1" applyNumberFormat="1">
      <alignment horizontal="center" readingOrder="0" shrinkToFit="0" vertical="center" wrapText="0"/>
    </xf>
    <xf borderId="61" fillId="5" fontId="19" numFmtId="164" xfId="0" applyAlignment="1" applyBorder="1" applyFill="1" applyFont="1" applyNumberFormat="1">
      <alignment horizontal="center" readingOrder="0" shrinkToFit="0" vertical="center" wrapText="0"/>
    </xf>
    <xf borderId="0" fillId="0" fontId="38" numFmtId="0" xfId="0" applyAlignment="1" applyFont="1">
      <alignment horizontal="center" readingOrder="0"/>
    </xf>
    <xf borderId="0" fillId="0" fontId="38" numFmtId="0" xfId="0" applyAlignment="1" applyFont="1">
      <alignment readingOrder="0"/>
    </xf>
    <xf borderId="0" fillId="0" fontId="39" numFmtId="0" xfId="0" applyFont="1"/>
    <xf borderId="33" fillId="0" fontId="16" numFmtId="0" xfId="0" applyAlignment="1" applyBorder="1" applyFont="1">
      <alignment horizontal="center" readingOrder="0" shrinkToFit="0" vertical="center" wrapText="0"/>
    </xf>
    <xf borderId="0" fillId="0" fontId="40" numFmtId="0" xfId="0" applyAlignment="1" applyFont="1">
      <alignment horizontal="center" readingOrder="0"/>
    </xf>
    <xf borderId="0" fillId="0" fontId="40" numFmtId="0" xfId="0" applyAlignment="1" applyFont="1">
      <alignment readingOrder="0"/>
    </xf>
    <xf borderId="33" fillId="0" fontId="41" numFmtId="0" xfId="0" applyAlignment="1" applyBorder="1" applyFont="1">
      <alignment horizontal="center"/>
    </xf>
    <xf borderId="6" fillId="5" fontId="16" numFmtId="0" xfId="0" applyBorder="1" applyFill="1" applyFont="1"/>
    <xf borderId="6" fillId="5" fontId="16" numFmtId="168" xfId="0" applyAlignment="1" applyBorder="1" applyFill="1" applyFont="1" applyNumberFormat="1">
      <alignment horizontal="center"/>
    </xf>
    <xf borderId="6" fillId="5" fontId="16" numFmtId="0" xfId="0" applyAlignment="1" applyBorder="1" applyFill="1" applyFont="1">
      <alignment horizontal="center"/>
    </xf>
    <xf borderId="61" fillId="5" fontId="19" numFmtId="164" xfId="0" applyAlignment="1" applyBorder="1" applyFill="1" applyFont="1" applyNumberFormat="1">
      <alignment horizontal="center"/>
    </xf>
    <xf borderId="3" fillId="5" fontId="16" numFmtId="0" xfId="0" applyAlignment="1" applyBorder="1" applyFill="1" applyFont="1">
      <alignment horizontal="center"/>
    </xf>
    <xf borderId="41" fillId="5" fontId="16" numFmtId="0" xfId="0" applyAlignment="1" applyBorder="1" applyFill="1" applyFont="1">
      <alignment horizontal="center" readingOrder="0"/>
    </xf>
    <xf borderId="33" fillId="0" fontId="6" numFmtId="0" xfId="0" applyBorder="1" applyFont="1"/>
    <xf borderId="6" fillId="5" fontId="16" numFmtId="0" xfId="0" applyAlignment="1" applyBorder="1" applyFill="1" applyFont="1">
      <alignment horizontal="center"/>
    </xf>
    <xf borderId="12" fillId="5" fontId="16" numFmtId="164" xfId="0" applyAlignment="1" applyBorder="1" applyFill="1" applyFont="1" applyNumberFormat="1">
      <alignment horizontal="center" vertical="bottom"/>
    </xf>
    <xf borderId="0" fillId="0" fontId="42" numFmtId="0" xfId="0" applyFont="1"/>
    <xf borderId="61" fillId="5" fontId="16" numFmtId="164" xfId="0" applyAlignment="1" applyBorder="1" applyFill="1" applyFont="1" applyNumberFormat="1">
      <alignment horizontal="center"/>
    </xf>
    <xf borderId="0" fillId="0" fontId="42" numFmtId="0" xfId="0" applyAlignment="1" applyFont="1">
      <alignment horizontal="center" readingOrder="0"/>
    </xf>
    <xf borderId="0" fillId="0" fontId="42" numFmtId="0" xfId="0" applyAlignment="1" applyFont="1">
      <alignment readingOrder="0"/>
    </xf>
    <xf borderId="61" fillId="5" fontId="16" numFmtId="164" xfId="0" applyAlignment="1" applyBorder="1" applyFill="1" applyFont="1" applyNumberFormat="1">
      <alignment horizontal="center" readingOrder="0" shrinkToFit="0" vertical="center" wrapText="0"/>
    </xf>
    <xf borderId="46" fillId="0" fontId="16" numFmtId="0" xfId="0" applyAlignment="1" applyBorder="1" applyFont="1">
      <alignment horizontal="center" readingOrder="0" shrinkToFit="0" vertical="center" wrapText="0"/>
    </xf>
    <xf borderId="21" fillId="5" fontId="16" numFmtId="164" xfId="0" applyAlignment="1" applyBorder="1" applyFill="1" applyFont="1" applyNumberFormat="1">
      <alignment horizontal="center" readingOrder="0" shrinkToFit="0" vertical="center" wrapText="0"/>
    </xf>
    <xf borderId="22" fillId="5" fontId="16" numFmtId="164" xfId="0" applyAlignment="1" applyBorder="1" applyFill="1" applyFont="1" applyNumberFormat="1">
      <alignment horizontal="center" readingOrder="0" shrinkToFit="0" vertical="center" wrapText="0"/>
    </xf>
    <xf borderId="62" fillId="5" fontId="16" numFmtId="164" xfId="0" applyAlignment="1" applyBorder="1" applyFill="1" applyFont="1" applyNumberFormat="1">
      <alignment horizontal="center" readingOrder="0" shrinkToFit="0" vertical="center" wrapText="0"/>
    </xf>
    <xf borderId="44" fillId="5" fontId="16" numFmtId="0" xfId="0" applyAlignment="1" applyBorder="1" applyFill="1" applyFont="1">
      <alignment horizontal="center" readingOrder="0" shrinkToFit="0" vertical="center" wrapText="0"/>
    </xf>
    <xf borderId="25" fillId="0" fontId="43" numFmtId="0" xfId="0" applyAlignment="1" applyBorder="1" applyFont="1">
      <alignment horizontal="center" shrinkToFit="0" vertical="center" wrapText="0"/>
    </xf>
    <xf borderId="12" fillId="0" fontId="29" numFmtId="0" xfId="0" applyAlignment="1" applyBorder="1" applyFont="1">
      <alignment readingOrder="0" shrinkToFit="0" vertical="center" wrapText="0"/>
    </xf>
    <xf borderId="12" fillId="0" fontId="29" numFmtId="0" xfId="0" applyAlignment="1" applyBorder="1" applyFont="1">
      <alignment shrinkToFit="0" vertical="center" wrapText="0"/>
    </xf>
    <xf borderId="0" fillId="0" fontId="44" numFmtId="0" xfId="0" applyAlignment="1" applyFont="1">
      <alignment shrinkToFit="0" vertical="center" wrapText="0"/>
    </xf>
    <xf borderId="0" fillId="0" fontId="45" numFmtId="164" xfId="0" applyAlignment="1" applyFont="1" applyNumberFormat="1">
      <alignment shrinkToFit="0" vertical="center" wrapText="0"/>
    </xf>
    <xf borderId="0" fillId="0" fontId="46" numFmtId="0" xfId="0" applyAlignment="1" applyFont="1">
      <alignment shrinkToFit="0" vertical="center" wrapText="0"/>
    </xf>
    <xf borderId="0" fillId="0" fontId="29" numFmtId="4" xfId="0" applyAlignment="1" applyFont="1" applyNumberFormat="1">
      <alignment horizontal="center" readingOrder="0" shrinkToFit="0" vertical="center" wrapText="0"/>
    </xf>
    <xf borderId="0" fillId="0" fontId="47" numFmtId="0" xfId="0" applyAlignment="1" applyFont="1">
      <alignment shrinkToFit="0" vertical="center" wrapText="0"/>
    </xf>
    <xf borderId="0" fillId="0" fontId="44" numFmtId="164" xfId="0" applyAlignment="1" applyFont="1" applyNumberFormat="1">
      <alignment shrinkToFit="0" vertical="center" wrapText="0"/>
    </xf>
    <xf borderId="0" fillId="0" fontId="45" numFmtId="0" xfId="0" applyAlignment="1" applyFont="1">
      <alignment shrinkToFit="0" vertical="center" wrapText="0"/>
    </xf>
    <xf borderId="0" fillId="0" fontId="46" numFmtId="0" xfId="0" applyAlignment="1" applyFont="1">
      <alignment horizontal="right" readingOrder="0" shrinkToFit="0" vertical="center" wrapText="0"/>
    </xf>
    <xf borderId="0" fillId="0" fontId="29" numFmtId="0" xfId="0" applyAlignment="1" applyFont="1">
      <alignment shrinkToFit="0" vertical="center" wrapText="0"/>
    </xf>
    <xf borderId="63" fillId="7" fontId="43" numFmtId="0" xfId="0" applyAlignment="1" applyBorder="1" applyFill="1" applyFont="1">
      <alignment horizontal="center" shrinkToFit="0" vertical="center" wrapText="0"/>
    </xf>
    <xf borderId="64" fillId="9" fontId="44" numFmtId="164" xfId="0" applyAlignment="1" applyBorder="1" applyFill="1" applyFont="1" applyNumberFormat="1">
      <alignment shrinkToFit="0" vertical="center" wrapText="0"/>
    </xf>
    <xf borderId="7" fillId="9" fontId="45" numFmtId="164" xfId="0" applyAlignment="1" applyBorder="1" applyFill="1" applyFont="1" applyNumberFormat="1">
      <alignment shrinkToFit="0" vertical="center" wrapText="0"/>
    </xf>
    <xf borderId="4" fillId="9" fontId="46" numFmtId="0" xfId="0" applyAlignment="1" applyBorder="1" applyFill="1" applyFont="1">
      <alignment shrinkToFit="0" vertical="center" wrapText="0"/>
    </xf>
    <xf borderId="64" fillId="9" fontId="29" numFmtId="4" xfId="0" applyAlignment="1" applyBorder="1" applyFill="1" applyFont="1" applyNumberFormat="1">
      <alignment horizontal="center" readingOrder="0" shrinkToFit="0" vertical="center" wrapText="0"/>
    </xf>
    <xf borderId="7" fillId="9" fontId="47" numFmtId="0" xfId="0" applyAlignment="1" applyBorder="1" applyFill="1" applyFont="1">
      <alignment shrinkToFit="0" vertical="center" wrapText="0"/>
    </xf>
    <xf borderId="7" fillId="9" fontId="44" numFmtId="164" xfId="0" applyAlignment="1" applyBorder="1" applyFill="1" applyFont="1" applyNumberFormat="1">
      <alignment shrinkToFit="0" vertical="center" wrapText="0"/>
    </xf>
    <xf borderId="64" fillId="9" fontId="45" numFmtId="0" xfId="0" applyAlignment="1" applyBorder="1" applyFill="1" applyFont="1">
      <alignment shrinkToFit="0" vertical="center" wrapText="0"/>
    </xf>
    <xf borderId="4" fillId="9" fontId="46" numFmtId="0" xfId="0" applyAlignment="1" applyBorder="1" applyFill="1" applyFont="1">
      <alignment horizontal="right" readingOrder="0" shrinkToFit="0" vertical="center" wrapText="0"/>
    </xf>
    <xf borderId="64" fillId="9" fontId="29" numFmtId="0" xfId="0" applyAlignment="1" applyBorder="1" applyFill="1" applyFont="1">
      <alignment shrinkToFit="0" vertical="center" wrapText="0"/>
    </xf>
    <xf borderId="0" fillId="0" fontId="48" numFmtId="164" xfId="0" applyFont="1" applyNumberFormat="1"/>
    <xf borderId="0" fillId="0" fontId="1" numFmtId="170" xfId="0" applyFont="1" applyNumberFormat="1"/>
    <xf borderId="0" fillId="0" fontId="1" numFmtId="0" xfId="0" applyAlignment="1" applyFont="1">
      <alignment horizontal="left" vertical="center"/>
    </xf>
    <xf borderId="0" fillId="0" fontId="1" numFmtId="171" xfId="0" applyAlignment="1" applyFont="1" applyNumberFormat="1">
      <alignment readingOrder="0"/>
    </xf>
    <xf borderId="0" fillId="0" fontId="21" numFmtId="0" xfId="0" applyFont="1"/>
    <xf borderId="0" fillId="0" fontId="21" numFmtId="17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ccomponentes.com/philips-50pus7504-50-led-ultrahd" TargetMode="External"/><Relationship Id="rId2" Type="http://schemas.openxmlformats.org/officeDocument/2006/relationships/hyperlink" Target="https://www.sabadellpagofacil.com/e" TargetMode="External"/><Relationship Id="rId3" Type="http://schemas.openxmlformats.org/officeDocument/2006/relationships/hyperlink" Target="https://clientes.wanna.es/login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7.25"/>
    <col customWidth="1" min="3" max="3" width="11.88"/>
    <col customWidth="1" min="4" max="5" width="12.63"/>
    <col customWidth="1" min="14" max="14" width="12.88"/>
    <col customWidth="1" min="15" max="15" width="12.75"/>
    <col customWidth="1" min="16" max="16" width="10.88"/>
    <col customWidth="1" min="17" max="17" width="34.38"/>
    <col customWidth="1" min="18" max="18" width="12.38"/>
    <col customWidth="1" min="19" max="19" width="14.63"/>
    <col customWidth="1" min="20" max="20" width="16.0"/>
  </cols>
  <sheetData>
    <row r="1">
      <c r="A1" s="1"/>
    </row>
    <row r="2" ht="23.25" customHeight="1">
      <c r="B2" s="5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9"/>
    </row>
    <row r="4">
      <c r="B4" s="11" t="s">
        <v>7</v>
      </c>
      <c r="C4" s="13" t="s">
        <v>9</v>
      </c>
      <c r="D4" s="13" t="s">
        <v>11</v>
      </c>
      <c r="E4" s="13" t="s">
        <v>12</v>
      </c>
      <c r="F4" s="13" t="s">
        <v>13</v>
      </c>
      <c r="G4" s="13" t="s">
        <v>14</v>
      </c>
      <c r="H4" s="13" t="s">
        <v>15</v>
      </c>
      <c r="I4" s="13" t="s">
        <v>16</v>
      </c>
      <c r="J4" s="17" t="s">
        <v>18</v>
      </c>
      <c r="K4" s="17" t="s">
        <v>21</v>
      </c>
      <c r="L4" s="17" t="s">
        <v>22</v>
      </c>
      <c r="M4" s="17" t="s">
        <v>23</v>
      </c>
      <c r="N4" s="20" t="s">
        <v>24</v>
      </c>
      <c r="O4" s="22" t="s">
        <v>25</v>
      </c>
    </row>
    <row r="5">
      <c r="B5" s="24"/>
      <c r="C5" s="26"/>
      <c r="D5" s="26"/>
      <c r="E5" s="26"/>
      <c r="F5" s="26"/>
      <c r="G5" s="26"/>
      <c r="H5" s="26"/>
      <c r="I5" s="26"/>
      <c r="J5" s="27"/>
      <c r="K5" s="27"/>
      <c r="L5" s="27"/>
      <c r="M5" s="28"/>
      <c r="N5" s="29"/>
      <c r="Q5" s="30" t="s">
        <v>30</v>
      </c>
      <c r="R5" s="31"/>
      <c r="S5" s="31"/>
      <c r="T5" s="32"/>
    </row>
    <row r="6">
      <c r="B6" s="33" t="s">
        <v>31</v>
      </c>
      <c r="C6" s="36">
        <v>89.78</v>
      </c>
      <c r="D6" s="36">
        <v>176.56</v>
      </c>
      <c r="E6" s="38"/>
      <c r="F6" s="38"/>
      <c r="G6" s="36">
        <v>89.82</v>
      </c>
      <c r="H6" s="36">
        <v>143.74</v>
      </c>
      <c r="I6" s="40">
        <v>179.46</v>
      </c>
      <c r="J6" s="42">
        <v>179.35</v>
      </c>
      <c r="K6" s="42">
        <v>89.78</v>
      </c>
      <c r="L6" s="43">
        <v>60.42</v>
      </c>
      <c r="M6" s="45">
        <v>89.67</v>
      </c>
      <c r="N6" s="53"/>
      <c r="Q6" s="55"/>
      <c r="R6" s="57"/>
      <c r="S6" s="57"/>
      <c r="T6" s="58"/>
    </row>
    <row r="7">
      <c r="B7" s="33" t="s">
        <v>50</v>
      </c>
      <c r="C7" s="36">
        <v>103.36</v>
      </c>
      <c r="D7" s="38"/>
      <c r="E7" s="60">
        <v>103.36</v>
      </c>
      <c r="F7" s="38"/>
      <c r="G7" s="38"/>
      <c r="H7" s="63">
        <v>103.36</v>
      </c>
      <c r="I7" s="60">
        <v>103.36</v>
      </c>
      <c r="J7" s="64">
        <v>103.36</v>
      </c>
      <c r="K7" s="64">
        <v>103.36</v>
      </c>
      <c r="L7" s="65">
        <v>103.36</v>
      </c>
      <c r="M7" s="66">
        <v>103.36</v>
      </c>
      <c r="N7" s="67">
        <v>103.36</v>
      </c>
    </row>
    <row r="8">
      <c r="B8" s="69" t="s">
        <v>51</v>
      </c>
      <c r="C8" s="70">
        <v>292.68</v>
      </c>
      <c r="D8" s="70">
        <v>146.34</v>
      </c>
      <c r="E8" s="70">
        <v>146.34</v>
      </c>
      <c r="F8" s="72"/>
      <c r="G8" s="70">
        <v>146.34</v>
      </c>
      <c r="H8" s="70">
        <v>146.34</v>
      </c>
      <c r="I8" s="73">
        <v>146.34</v>
      </c>
      <c r="J8" s="74">
        <v>146.34</v>
      </c>
      <c r="K8" s="74">
        <v>146.34</v>
      </c>
      <c r="L8" s="76">
        <v>146.34</v>
      </c>
      <c r="M8" s="66">
        <v>146.34</v>
      </c>
      <c r="N8" s="67">
        <v>146.34</v>
      </c>
    </row>
    <row r="9">
      <c r="B9" s="33" t="s">
        <v>52</v>
      </c>
      <c r="C9" s="77"/>
      <c r="D9" s="77"/>
      <c r="E9" s="78"/>
      <c r="F9" s="36">
        <v>68.64</v>
      </c>
      <c r="G9" s="77"/>
      <c r="H9" s="79">
        <v>102.71</v>
      </c>
      <c r="I9" s="79">
        <v>102.27</v>
      </c>
      <c r="J9" s="81">
        <v>122.42</v>
      </c>
      <c r="K9" s="81">
        <v>122.42</v>
      </c>
      <c r="L9" s="83">
        <v>122.42</v>
      </c>
      <c r="M9" s="85">
        <v>81.6</v>
      </c>
      <c r="N9" s="86">
        <v>86.39</v>
      </c>
      <c r="Q9" s="88" t="s">
        <v>54</v>
      </c>
      <c r="R9" s="3"/>
      <c r="S9" s="4"/>
      <c r="T9" s="90"/>
    </row>
    <row r="10">
      <c r="B10" s="92"/>
      <c r="C10" s="1"/>
      <c r="D10" s="1"/>
      <c r="E10" s="1"/>
      <c r="F10" s="1"/>
      <c r="G10" s="1"/>
      <c r="H10" s="1"/>
      <c r="I10" s="1"/>
      <c r="J10" s="94"/>
      <c r="K10" s="94"/>
      <c r="L10" s="95"/>
      <c r="M10" s="94"/>
      <c r="N10" s="96"/>
      <c r="Q10" s="97" t="s">
        <v>55</v>
      </c>
      <c r="R10" s="3"/>
      <c r="S10" s="4"/>
      <c r="T10" s="36">
        <v>4302.44</v>
      </c>
    </row>
    <row r="11">
      <c r="B11" s="98" t="s">
        <v>39</v>
      </c>
      <c r="C11" s="102">
        <f t="shared" ref="C11:D11" si="1">SUM(C6,C7,C8)</f>
        <v>485.82</v>
      </c>
      <c r="D11" s="102">
        <f t="shared" si="1"/>
        <v>322.9</v>
      </c>
      <c r="E11" s="102">
        <f>SUM(E7,E8)</f>
        <v>249.7</v>
      </c>
      <c r="F11" s="102">
        <f>SUM(F7,F9)</f>
        <v>68.64</v>
      </c>
      <c r="G11" s="102">
        <f>SUM(G6:G8)</f>
        <v>236.16</v>
      </c>
      <c r="H11" s="102">
        <f t="shared" ref="H11:N11" si="2">SUM(H6:H9)</f>
        <v>496.15</v>
      </c>
      <c r="I11" s="106">
        <f t="shared" si="2"/>
        <v>531.43</v>
      </c>
      <c r="J11" s="108">
        <f t="shared" si="2"/>
        <v>551.47</v>
      </c>
      <c r="K11" s="108">
        <f t="shared" si="2"/>
        <v>461.9</v>
      </c>
      <c r="L11" s="108">
        <f t="shared" si="2"/>
        <v>432.54</v>
      </c>
      <c r="M11" s="108">
        <f t="shared" si="2"/>
        <v>420.97</v>
      </c>
      <c r="N11" s="109">
        <f t="shared" si="2"/>
        <v>336.09</v>
      </c>
      <c r="O11" s="112">
        <f>SUM(C11:N11)</f>
        <v>4593.77</v>
      </c>
      <c r="Q11" s="97" t="s">
        <v>64</v>
      </c>
      <c r="R11" s="3"/>
      <c r="S11" s="4"/>
      <c r="T11" s="36">
        <v>29375.0</v>
      </c>
    </row>
    <row r="12">
      <c r="Q12" s="97" t="s">
        <v>66</v>
      </c>
      <c r="R12" s="3"/>
      <c r="S12" s="4"/>
      <c r="T12" s="36">
        <v>800.0</v>
      </c>
    </row>
    <row r="13">
      <c r="Q13" s="97" t="s">
        <v>67</v>
      </c>
      <c r="R13" s="3"/>
      <c r="S13" s="4"/>
      <c r="T13" s="36">
        <v>7289.0</v>
      </c>
    </row>
    <row r="14">
      <c r="B14" s="115" t="s">
        <v>69</v>
      </c>
      <c r="C14" s="13" t="s">
        <v>9</v>
      </c>
      <c r="D14" s="13" t="s">
        <v>11</v>
      </c>
      <c r="E14" s="13" t="s">
        <v>12</v>
      </c>
      <c r="F14" s="13" t="s">
        <v>13</v>
      </c>
      <c r="G14" s="13" t="s">
        <v>14</v>
      </c>
      <c r="H14" s="13" t="s">
        <v>15</v>
      </c>
      <c r="I14" s="13" t="s">
        <v>16</v>
      </c>
      <c r="J14" s="17" t="s">
        <v>18</v>
      </c>
      <c r="K14" s="17" t="s">
        <v>21</v>
      </c>
      <c r="L14" s="17" t="s">
        <v>22</v>
      </c>
      <c r="M14" s="17" t="s">
        <v>23</v>
      </c>
      <c r="N14" s="20" t="s">
        <v>24</v>
      </c>
      <c r="O14" s="22" t="s">
        <v>25</v>
      </c>
      <c r="Q14" s="119" t="s">
        <v>39</v>
      </c>
      <c r="R14" s="3"/>
      <c r="S14" s="4"/>
      <c r="T14" s="46">
        <f>SUM(T13,T11,T10,T12)</f>
        <v>41766.44</v>
      </c>
    </row>
    <row r="15">
      <c r="B15" s="24"/>
      <c r="C15" s="26"/>
      <c r="D15" s="26"/>
      <c r="E15" s="26"/>
      <c r="F15" s="26"/>
      <c r="G15" s="26"/>
      <c r="H15" s="26"/>
      <c r="I15" s="26"/>
      <c r="J15" s="27"/>
      <c r="K15" s="27"/>
      <c r="L15" s="27"/>
      <c r="M15" s="27"/>
      <c r="N15" s="122"/>
    </row>
    <row r="16">
      <c r="B16" s="33" t="s">
        <v>50</v>
      </c>
      <c r="C16" s="66">
        <v>103.36</v>
      </c>
      <c r="D16" s="66">
        <v>103.36</v>
      </c>
      <c r="E16" s="66">
        <v>103.36</v>
      </c>
      <c r="F16" s="66">
        <v>103.36</v>
      </c>
      <c r="G16" s="66">
        <v>103.36</v>
      </c>
      <c r="H16" s="66">
        <v>103.36</v>
      </c>
      <c r="I16" s="66">
        <v>103.36</v>
      </c>
      <c r="J16" s="125"/>
      <c r="K16" s="125"/>
      <c r="L16" s="125"/>
      <c r="M16" s="125"/>
      <c r="N16" s="127"/>
    </row>
    <row r="17">
      <c r="B17" s="69" t="s">
        <v>51</v>
      </c>
      <c r="C17" s="66">
        <v>146.34</v>
      </c>
      <c r="D17" s="66">
        <v>146.34</v>
      </c>
      <c r="E17" s="66">
        <v>146.34</v>
      </c>
      <c r="F17" s="66">
        <v>146.34</v>
      </c>
      <c r="G17" s="66">
        <v>146.34</v>
      </c>
      <c r="H17" s="45">
        <v>150.34</v>
      </c>
      <c r="I17" s="45">
        <v>150.34</v>
      </c>
      <c r="J17" s="45">
        <v>150.34</v>
      </c>
      <c r="K17" s="45">
        <v>150.34</v>
      </c>
      <c r="L17" s="45">
        <v>150.34</v>
      </c>
      <c r="M17" s="45">
        <v>150.34</v>
      </c>
      <c r="N17" s="129">
        <v>150.34</v>
      </c>
    </row>
    <row r="18">
      <c r="B18" s="33" t="s">
        <v>52</v>
      </c>
      <c r="C18" s="36">
        <v>59.58</v>
      </c>
      <c r="D18" s="36">
        <v>59.58</v>
      </c>
      <c r="E18" s="132">
        <v>115.95</v>
      </c>
      <c r="F18" s="132">
        <v>115.95</v>
      </c>
      <c r="G18" s="132">
        <v>115.95</v>
      </c>
      <c r="H18" s="79">
        <v>46.8</v>
      </c>
      <c r="I18" s="79">
        <v>46.8</v>
      </c>
      <c r="J18" s="79">
        <v>46.79</v>
      </c>
      <c r="K18" s="81">
        <v>20.74</v>
      </c>
      <c r="L18" s="81">
        <v>111.86</v>
      </c>
      <c r="M18" s="81">
        <v>111.86</v>
      </c>
      <c r="N18" s="133">
        <v>111.86</v>
      </c>
    </row>
    <row r="19">
      <c r="B19" s="33" t="s">
        <v>73</v>
      </c>
      <c r="C19" s="134">
        <v>95.03</v>
      </c>
      <c r="D19" s="134">
        <v>95.33</v>
      </c>
      <c r="E19" s="134">
        <v>95.62</v>
      </c>
      <c r="F19" s="134">
        <v>95.96</v>
      </c>
      <c r="G19" s="134">
        <v>94.53</v>
      </c>
      <c r="H19" s="134">
        <v>92.75</v>
      </c>
      <c r="I19" s="135"/>
      <c r="J19" s="135"/>
      <c r="K19" s="136"/>
      <c r="L19" s="136"/>
      <c r="M19" s="137"/>
      <c r="N19" s="138"/>
    </row>
    <row r="20">
      <c r="B20" s="33" t="s">
        <v>74</v>
      </c>
      <c r="C20" s="134">
        <v>134.37</v>
      </c>
      <c r="D20" s="134">
        <v>134.79</v>
      </c>
      <c r="E20" s="134">
        <v>135.22</v>
      </c>
      <c r="F20" s="134">
        <v>135.7</v>
      </c>
      <c r="G20" s="134">
        <v>136.11</v>
      </c>
      <c r="H20" s="134">
        <v>136.56</v>
      </c>
      <c r="I20" s="134">
        <v>137.02</v>
      </c>
      <c r="J20" s="134">
        <v>137.45</v>
      </c>
      <c r="K20" s="136"/>
      <c r="L20" s="136"/>
      <c r="N20" s="139"/>
    </row>
    <row r="21">
      <c r="B21" s="140" t="s">
        <v>75</v>
      </c>
      <c r="C21" s="141">
        <v>54.7</v>
      </c>
      <c r="D21" s="141">
        <v>54.88</v>
      </c>
      <c r="E21" s="141">
        <v>55.05</v>
      </c>
      <c r="F21" s="141">
        <v>55.25</v>
      </c>
      <c r="G21" s="141">
        <v>55.42</v>
      </c>
      <c r="H21" s="141">
        <v>55.61</v>
      </c>
      <c r="I21" s="141">
        <v>55.8</v>
      </c>
      <c r="J21" s="141">
        <v>55.97</v>
      </c>
      <c r="K21" s="143"/>
      <c r="L21" s="143"/>
      <c r="M21" s="137"/>
      <c r="N21" s="144"/>
    </row>
    <row r="22">
      <c r="B22" s="92"/>
      <c r="J22" s="94"/>
      <c r="K22" s="94"/>
      <c r="L22" s="94"/>
      <c r="M22" s="94"/>
      <c r="N22" s="96"/>
    </row>
    <row r="23">
      <c r="B23" s="98" t="s">
        <v>39</v>
      </c>
      <c r="C23" s="102">
        <f t="shared" ref="C23:N23" si="3">SUM(C16:C22)</f>
        <v>593.38</v>
      </c>
      <c r="D23" s="102">
        <f t="shared" si="3"/>
        <v>594.28</v>
      </c>
      <c r="E23" s="102">
        <f t="shared" si="3"/>
        <v>651.54</v>
      </c>
      <c r="F23" s="102">
        <f t="shared" si="3"/>
        <v>652.56</v>
      </c>
      <c r="G23" s="102">
        <f t="shared" si="3"/>
        <v>651.71</v>
      </c>
      <c r="H23" s="102">
        <f t="shared" si="3"/>
        <v>585.42</v>
      </c>
      <c r="I23" s="106">
        <f t="shared" si="3"/>
        <v>493.32</v>
      </c>
      <c r="J23" s="108">
        <f t="shared" si="3"/>
        <v>390.55</v>
      </c>
      <c r="K23" s="108">
        <f t="shared" si="3"/>
        <v>171.08</v>
      </c>
      <c r="L23" s="108">
        <f t="shared" si="3"/>
        <v>262.2</v>
      </c>
      <c r="M23" s="108">
        <f t="shared" si="3"/>
        <v>262.2</v>
      </c>
      <c r="N23" s="145">
        <f t="shared" si="3"/>
        <v>262.2</v>
      </c>
      <c r="O23" s="112">
        <f>SUM(C23:N23)</f>
        <v>5570.44</v>
      </c>
      <c r="Q23" s="30" t="s">
        <v>80</v>
      </c>
      <c r="R23" s="31"/>
      <c r="S23" s="31"/>
      <c r="T23" s="32"/>
    </row>
    <row r="24">
      <c r="Q24" s="55"/>
      <c r="R24" s="57"/>
      <c r="S24" s="57"/>
      <c r="T24" s="58"/>
    </row>
    <row r="26">
      <c r="B26" s="147" t="s">
        <v>82</v>
      </c>
      <c r="C26" s="148" t="s">
        <v>9</v>
      </c>
      <c r="D26" s="148" t="s">
        <v>11</v>
      </c>
      <c r="E26" s="148" t="s">
        <v>12</v>
      </c>
      <c r="F26" s="148" t="s">
        <v>13</v>
      </c>
      <c r="G26" s="148" t="s">
        <v>14</v>
      </c>
      <c r="H26" s="150" t="s">
        <v>15</v>
      </c>
      <c r="I26" s="150" t="s">
        <v>16</v>
      </c>
      <c r="J26" s="151" t="s">
        <v>18</v>
      </c>
      <c r="K26" s="153" t="s">
        <v>21</v>
      </c>
      <c r="L26" s="153" t="s">
        <v>22</v>
      </c>
      <c r="M26" s="153" t="s">
        <v>23</v>
      </c>
      <c r="N26" s="155" t="s">
        <v>24</v>
      </c>
    </row>
    <row r="27">
      <c r="B27" s="24"/>
      <c r="C27" s="26"/>
      <c r="D27" s="26"/>
      <c r="E27" s="26"/>
      <c r="F27" s="26"/>
      <c r="G27" s="26"/>
      <c r="H27" s="26"/>
      <c r="I27" s="26"/>
      <c r="J27" s="27"/>
      <c r="K27" s="27"/>
      <c r="L27" s="27"/>
      <c r="M27" s="27"/>
      <c r="N27" s="122"/>
      <c r="Q27" s="156" t="s">
        <v>85</v>
      </c>
      <c r="R27" s="3"/>
      <c r="S27" s="3"/>
      <c r="T27" s="4"/>
    </row>
    <row r="28">
      <c r="B28" s="69" t="s">
        <v>51</v>
      </c>
      <c r="C28" s="45">
        <v>150.34</v>
      </c>
      <c r="D28" s="45">
        <v>150.34</v>
      </c>
      <c r="E28" s="45">
        <v>150.34</v>
      </c>
      <c r="F28" s="45">
        <v>150.34</v>
      </c>
      <c r="G28" s="45">
        <v>150.34</v>
      </c>
      <c r="H28" s="158"/>
      <c r="I28" s="158"/>
      <c r="J28" s="158"/>
      <c r="K28" s="158"/>
      <c r="L28" s="48"/>
      <c r="M28" s="48"/>
      <c r="N28" s="127"/>
      <c r="O28" s="22" t="s">
        <v>25</v>
      </c>
      <c r="Q28" s="160" t="s">
        <v>87</v>
      </c>
      <c r="R28" s="48"/>
      <c r="S28" s="48"/>
      <c r="T28" s="51"/>
    </row>
    <row r="29">
      <c r="B29" s="69" t="s">
        <v>52</v>
      </c>
      <c r="C29" s="161">
        <v>111.86</v>
      </c>
      <c r="D29" s="162"/>
      <c r="E29" s="163"/>
      <c r="G29" s="162"/>
      <c r="H29" s="162"/>
      <c r="I29" s="161">
        <v>399.96</v>
      </c>
      <c r="J29" s="161">
        <v>399.96</v>
      </c>
      <c r="K29" s="161">
        <v>399.96</v>
      </c>
      <c r="L29" s="165"/>
      <c r="N29" s="166"/>
      <c r="Q29" s="160" t="s">
        <v>91</v>
      </c>
      <c r="R29" s="48"/>
      <c r="S29" s="48"/>
      <c r="T29" s="51">
        <v>1000.0</v>
      </c>
    </row>
    <row r="30">
      <c r="B30" s="33" t="s">
        <v>92</v>
      </c>
      <c r="C30" s="161">
        <v>174.07</v>
      </c>
      <c r="D30" s="161">
        <v>174.07</v>
      </c>
      <c r="E30" s="167">
        <v>174.07</v>
      </c>
      <c r="F30" s="161">
        <v>174.07</v>
      </c>
      <c r="G30" s="161">
        <v>174.07</v>
      </c>
      <c r="H30" s="161">
        <v>174.07</v>
      </c>
      <c r="I30" s="161">
        <v>174.07</v>
      </c>
      <c r="J30" s="81">
        <v>174.07</v>
      </c>
      <c r="K30" s="81">
        <v>174.07</v>
      </c>
      <c r="L30" s="45">
        <v>174.07</v>
      </c>
      <c r="M30" s="81">
        <v>174.07</v>
      </c>
      <c r="N30" s="129">
        <v>174.07</v>
      </c>
      <c r="Q30" s="160" t="s">
        <v>93</v>
      </c>
      <c r="R30" s="48"/>
      <c r="S30" s="48"/>
      <c r="T30" s="51">
        <v>300.0</v>
      </c>
    </row>
    <row r="31">
      <c r="B31" s="33" t="s">
        <v>94</v>
      </c>
      <c r="C31" s="161">
        <v>44.44</v>
      </c>
      <c r="D31" s="161">
        <v>44.44</v>
      </c>
      <c r="E31" s="167">
        <v>44.44</v>
      </c>
      <c r="F31" s="161">
        <v>44.44</v>
      </c>
      <c r="G31" s="161">
        <v>44.44</v>
      </c>
      <c r="H31" s="161">
        <v>44.44</v>
      </c>
      <c r="I31" s="161">
        <v>44.44</v>
      </c>
      <c r="J31" s="81">
        <v>44.44</v>
      </c>
      <c r="K31" s="81">
        <v>44.44</v>
      </c>
      <c r="L31" s="45">
        <v>44.44</v>
      </c>
      <c r="M31" s="81">
        <v>44.44</v>
      </c>
      <c r="N31" s="129">
        <v>44.44</v>
      </c>
      <c r="Q31" s="160" t="s">
        <v>96</v>
      </c>
      <c r="R31" s="48"/>
      <c r="S31" s="48"/>
      <c r="T31" s="51">
        <v>0.0</v>
      </c>
    </row>
    <row r="32">
      <c r="B32" s="33" t="s">
        <v>97</v>
      </c>
      <c r="C32" s="48"/>
      <c r="D32" s="48"/>
      <c r="E32" s="48"/>
      <c r="F32" s="48"/>
      <c r="G32" s="48"/>
      <c r="H32" s="48"/>
      <c r="I32" s="48"/>
      <c r="J32" s="170"/>
      <c r="K32" s="170"/>
      <c r="L32" s="85">
        <v>160.74</v>
      </c>
      <c r="M32" s="171"/>
      <c r="N32" s="172"/>
      <c r="Q32" s="173" t="s">
        <v>99</v>
      </c>
      <c r="R32" s="173"/>
      <c r="S32" s="173"/>
      <c r="T32" s="51">
        <v>0.0</v>
      </c>
    </row>
    <row r="33">
      <c r="B33" s="33"/>
      <c r="C33" s="48"/>
      <c r="D33" s="48"/>
      <c r="E33" s="48"/>
      <c r="F33" s="48"/>
      <c r="G33" s="48"/>
      <c r="H33" s="48"/>
      <c r="I33" s="48"/>
      <c r="J33" s="170"/>
      <c r="K33" s="170"/>
      <c r="L33" s="170"/>
      <c r="M33" s="170"/>
      <c r="N33" s="175"/>
      <c r="Q33" s="173" t="s">
        <v>101</v>
      </c>
      <c r="R33" s="48"/>
      <c r="S33" s="48"/>
      <c r="T33" s="51">
        <v>0.0</v>
      </c>
    </row>
    <row r="34">
      <c r="B34" s="177" t="s">
        <v>39</v>
      </c>
      <c r="C34" s="179">
        <f t="shared" ref="C34:K34" si="4">SUM(C28:C31)</f>
        <v>480.71</v>
      </c>
      <c r="D34" s="179">
        <f t="shared" si="4"/>
        <v>368.85</v>
      </c>
      <c r="E34" s="179">
        <f t="shared" si="4"/>
        <v>368.85</v>
      </c>
      <c r="F34" s="179">
        <f t="shared" si="4"/>
        <v>368.85</v>
      </c>
      <c r="G34" s="179">
        <f t="shared" si="4"/>
        <v>368.85</v>
      </c>
      <c r="H34" s="179">
        <f t="shared" si="4"/>
        <v>218.51</v>
      </c>
      <c r="I34" s="180">
        <f t="shared" si="4"/>
        <v>618.47</v>
      </c>
      <c r="J34" s="108">
        <f t="shared" si="4"/>
        <v>618.47</v>
      </c>
      <c r="K34" s="108">
        <f t="shared" si="4"/>
        <v>618.47</v>
      </c>
      <c r="L34" s="108">
        <f t="shared" ref="L34:N34" si="5">SUM(L28:L32)</f>
        <v>379.25</v>
      </c>
      <c r="M34" s="108">
        <f t="shared" si="5"/>
        <v>218.51</v>
      </c>
      <c r="N34" s="145">
        <f t="shared" si="5"/>
        <v>218.51</v>
      </c>
    </row>
    <row r="35">
      <c r="Q35" s="173" t="s">
        <v>104</v>
      </c>
      <c r="R35" s="48"/>
      <c r="S35" s="48"/>
      <c r="T35" s="186">
        <f>SUM(T28:T33)</f>
        <v>1300</v>
      </c>
    </row>
    <row r="36">
      <c r="O36" s="112">
        <f>SUM(C34:N34)</f>
        <v>4846.3</v>
      </c>
    </row>
    <row r="37">
      <c r="B37" s="188" t="s">
        <v>105</v>
      </c>
      <c r="C37" s="189" t="s">
        <v>9</v>
      </c>
      <c r="D37" s="189" t="s">
        <v>11</v>
      </c>
      <c r="E37" s="189" t="s">
        <v>12</v>
      </c>
      <c r="F37" s="189" t="s">
        <v>13</v>
      </c>
      <c r="G37" s="189" t="s">
        <v>14</v>
      </c>
      <c r="H37" s="189" t="s">
        <v>15</v>
      </c>
      <c r="I37" s="189" t="s">
        <v>16</v>
      </c>
      <c r="J37" s="151" t="s">
        <v>18</v>
      </c>
      <c r="K37" s="151" t="s">
        <v>21</v>
      </c>
      <c r="L37" s="151" t="s">
        <v>22</v>
      </c>
      <c r="M37" s="151" t="s">
        <v>23</v>
      </c>
      <c r="N37" s="191" t="s">
        <v>24</v>
      </c>
    </row>
    <row r="38">
      <c r="B38" s="24"/>
      <c r="C38" s="26"/>
      <c r="D38" s="26"/>
      <c r="E38" s="26"/>
      <c r="F38" s="26"/>
      <c r="G38" s="26"/>
      <c r="H38" s="26"/>
      <c r="I38" s="26"/>
      <c r="J38" s="27"/>
      <c r="K38" s="27"/>
      <c r="L38" s="27"/>
      <c r="M38" s="27"/>
      <c r="N38" s="122"/>
      <c r="Q38" s="30" t="s">
        <v>107</v>
      </c>
      <c r="R38" s="31"/>
      <c r="S38" s="31"/>
      <c r="T38" s="32"/>
    </row>
    <row r="39">
      <c r="A39" s="1"/>
      <c r="B39" s="33" t="s">
        <v>108</v>
      </c>
      <c r="C39" s="161">
        <v>174.07</v>
      </c>
      <c r="D39" s="161">
        <v>174.07</v>
      </c>
      <c r="E39" s="163"/>
      <c r="G39" s="162"/>
      <c r="H39" s="162"/>
      <c r="I39" s="162"/>
      <c r="J39" s="193"/>
      <c r="K39" s="193"/>
      <c r="L39" s="158"/>
      <c r="M39" s="193"/>
      <c r="N39" s="166"/>
      <c r="O39" s="22" t="s">
        <v>25</v>
      </c>
      <c r="Q39" s="55"/>
      <c r="R39" s="57"/>
      <c r="S39" s="57"/>
      <c r="T39" s="58"/>
    </row>
    <row r="40" ht="15.0" customHeight="1">
      <c r="B40" s="33" t="s">
        <v>94</v>
      </c>
      <c r="C40" s="161">
        <v>44.44</v>
      </c>
      <c r="D40" s="194">
        <v>44.44</v>
      </c>
      <c r="E40" s="195"/>
      <c r="F40" s="162"/>
      <c r="G40" s="196"/>
      <c r="H40" s="196"/>
      <c r="I40" s="196"/>
      <c r="J40" s="197"/>
      <c r="K40" s="197"/>
      <c r="L40" s="198"/>
      <c r="M40" s="197"/>
      <c r="N40" s="166"/>
    </row>
    <row r="41">
      <c r="B41" s="33" t="s">
        <v>52</v>
      </c>
      <c r="C41" s="199"/>
      <c r="D41" s="161">
        <v>85.51</v>
      </c>
      <c r="E41" s="161">
        <v>85.51</v>
      </c>
      <c r="F41" s="162"/>
      <c r="G41" s="162"/>
      <c r="H41" s="162"/>
      <c r="I41" s="162"/>
      <c r="J41" s="162"/>
      <c r="K41" s="162"/>
      <c r="L41" s="162"/>
      <c r="M41" s="162"/>
      <c r="N41" s="200"/>
    </row>
    <row r="42">
      <c r="B42" s="140" t="s">
        <v>112</v>
      </c>
      <c r="C42" s="201"/>
      <c r="D42" s="26"/>
      <c r="E42" s="203">
        <v>365.0</v>
      </c>
      <c r="F42" s="203">
        <v>644.0</v>
      </c>
      <c r="G42" s="203">
        <v>644.0</v>
      </c>
      <c r="H42" s="203">
        <v>644.0</v>
      </c>
      <c r="I42" s="204">
        <v>644.0</v>
      </c>
      <c r="J42" s="205">
        <v>644.0</v>
      </c>
      <c r="K42" s="207">
        <v>644.0</v>
      </c>
      <c r="L42" s="207">
        <v>644.0</v>
      </c>
      <c r="M42" s="207">
        <v>644.0</v>
      </c>
      <c r="N42" s="208">
        <v>644.0</v>
      </c>
      <c r="Q42" s="209" t="s">
        <v>113</v>
      </c>
      <c r="R42" s="209" t="s">
        <v>114</v>
      </c>
    </row>
    <row r="43">
      <c r="B43" s="33" t="s">
        <v>115</v>
      </c>
      <c r="C43" s="201"/>
      <c r="D43" s="26"/>
      <c r="E43" s="201"/>
      <c r="F43" s="203">
        <v>550.0</v>
      </c>
      <c r="G43" s="203">
        <v>550.0</v>
      </c>
      <c r="H43" s="203">
        <v>550.0</v>
      </c>
      <c r="I43" s="210"/>
      <c r="J43" s="210"/>
      <c r="K43" s="210"/>
      <c r="L43" s="210"/>
      <c r="M43" s="210"/>
      <c r="N43" s="212"/>
      <c r="Q43" s="213" t="s">
        <v>117</v>
      </c>
      <c r="R43" s="214">
        <v>12.99</v>
      </c>
    </row>
    <row r="44">
      <c r="B44" s="140" t="s">
        <v>118</v>
      </c>
      <c r="C44" s="201"/>
      <c r="D44" s="201"/>
      <c r="E44" s="203">
        <v>123.18</v>
      </c>
      <c r="F44" s="203">
        <v>123.18</v>
      </c>
      <c r="G44" s="203">
        <v>123.18</v>
      </c>
      <c r="H44" s="201"/>
      <c r="I44" s="201"/>
      <c r="J44" s="215"/>
      <c r="K44" s="215"/>
      <c r="L44" s="215"/>
      <c r="M44" s="215"/>
      <c r="N44" s="216"/>
      <c r="Q44" s="213" t="s">
        <v>119</v>
      </c>
      <c r="R44" s="214">
        <v>4.99</v>
      </c>
    </row>
    <row r="45">
      <c r="B45" s="69"/>
      <c r="C45" s="217"/>
      <c r="D45" s="217"/>
      <c r="E45" s="217"/>
      <c r="F45" s="217"/>
      <c r="G45" s="217"/>
      <c r="H45" s="217"/>
      <c r="I45" s="217"/>
      <c r="J45" s="218"/>
      <c r="K45" s="218"/>
      <c r="L45" s="218"/>
      <c r="M45" s="218"/>
      <c r="N45" s="219"/>
      <c r="Q45" s="213"/>
      <c r="R45" s="220"/>
      <c r="S45" s="221"/>
      <c r="T45" s="221"/>
    </row>
    <row r="46">
      <c r="B46" s="98" t="s">
        <v>39</v>
      </c>
      <c r="C46" s="102">
        <f>SUM(C39:C40)</f>
        <v>218.51</v>
      </c>
      <c r="D46" s="102">
        <f>SUM(D39:D41)</f>
        <v>304.02</v>
      </c>
      <c r="E46" s="102">
        <f t="shared" ref="E46:G46" si="6">SUM(E41:E44)</f>
        <v>573.69</v>
      </c>
      <c r="F46" s="102">
        <f t="shared" si="6"/>
        <v>1317.18</v>
      </c>
      <c r="G46" s="102">
        <f t="shared" si="6"/>
        <v>1317.18</v>
      </c>
      <c r="H46" s="102">
        <f t="shared" ref="H46:N46" si="7">SUM(H39:H43)</f>
        <v>1194</v>
      </c>
      <c r="I46" s="106">
        <f t="shared" si="7"/>
        <v>644</v>
      </c>
      <c r="J46" s="108">
        <f t="shared" si="7"/>
        <v>644</v>
      </c>
      <c r="K46" s="108">
        <f t="shared" si="7"/>
        <v>644</v>
      </c>
      <c r="L46" s="108">
        <f t="shared" si="7"/>
        <v>644</v>
      </c>
      <c r="M46" s="108">
        <f t="shared" si="7"/>
        <v>644</v>
      </c>
      <c r="N46" s="145">
        <f t="shared" si="7"/>
        <v>644</v>
      </c>
      <c r="Q46" s="225" t="s">
        <v>123</v>
      </c>
      <c r="R46" s="226">
        <v>644.0</v>
      </c>
      <c r="T46" s="227"/>
    </row>
    <row r="47">
      <c r="Q47" s="228"/>
      <c r="R47" s="226"/>
      <c r="T47" s="227"/>
    </row>
    <row r="48">
      <c r="O48" s="112">
        <f>SUM(C46:N46)</f>
        <v>8788.58</v>
      </c>
      <c r="Q48" s="228"/>
      <c r="R48" s="230"/>
    </row>
    <row r="49">
      <c r="B49" s="188" t="s">
        <v>126</v>
      </c>
      <c r="C49" s="189" t="s">
        <v>9</v>
      </c>
      <c r="D49" s="189" t="s">
        <v>11</v>
      </c>
      <c r="E49" s="189" t="s">
        <v>12</v>
      </c>
      <c r="F49" s="189" t="s">
        <v>13</v>
      </c>
      <c r="G49" s="189" t="s">
        <v>14</v>
      </c>
      <c r="H49" s="189" t="s">
        <v>15</v>
      </c>
      <c r="I49" s="150" t="s">
        <v>16</v>
      </c>
      <c r="J49" s="151" t="s">
        <v>18</v>
      </c>
      <c r="K49" s="151" t="s">
        <v>21</v>
      </c>
      <c r="L49" s="151" t="s">
        <v>22</v>
      </c>
      <c r="M49" s="151" t="s">
        <v>23</v>
      </c>
      <c r="N49" s="191" t="s">
        <v>24</v>
      </c>
      <c r="Q49" s="225" t="s">
        <v>127</v>
      </c>
      <c r="R49" s="232">
        <v>47.0</v>
      </c>
      <c r="S49" s="234" t="s">
        <v>128</v>
      </c>
      <c r="T49" s="4"/>
    </row>
    <row r="50">
      <c r="B50" s="24"/>
      <c r="C50" s="26"/>
      <c r="D50" s="26"/>
      <c r="E50" s="26"/>
      <c r="F50" s="26"/>
      <c r="G50" s="26"/>
      <c r="H50" s="26"/>
      <c r="I50" s="26"/>
      <c r="J50" s="27"/>
      <c r="K50" s="27"/>
      <c r="L50" s="27"/>
      <c r="M50" s="27"/>
      <c r="N50" s="122"/>
      <c r="Q50" s="235" t="s">
        <v>132</v>
      </c>
      <c r="R50" s="51"/>
      <c r="S50" s="236" t="s">
        <v>134</v>
      </c>
      <c r="T50" s="236" t="s">
        <v>135</v>
      </c>
    </row>
    <row r="51">
      <c r="B51" s="140" t="s">
        <v>112</v>
      </c>
      <c r="C51" s="237">
        <v>644.0</v>
      </c>
      <c r="D51" s="238">
        <v>644.0</v>
      </c>
      <c r="E51" s="237">
        <v>644.0</v>
      </c>
      <c r="F51" s="237">
        <v>644.0</v>
      </c>
      <c r="G51" s="237">
        <v>644.0</v>
      </c>
      <c r="H51" s="237">
        <v>644.0</v>
      </c>
      <c r="I51" s="239">
        <v>644.0</v>
      </c>
      <c r="J51" s="207">
        <v>644.0</v>
      </c>
      <c r="K51" s="207">
        <v>644.0</v>
      </c>
      <c r="L51" s="207">
        <v>644.0</v>
      </c>
      <c r="M51" s="207">
        <v>644.0</v>
      </c>
      <c r="N51" s="208">
        <v>644.0</v>
      </c>
      <c r="Q51" s="225" t="s">
        <v>137</v>
      </c>
      <c r="R51" s="240">
        <v>60.0</v>
      </c>
      <c r="S51" s="241">
        <f>(S53*100)/2272</f>
        <v>33.8459507</v>
      </c>
      <c r="T51" s="241">
        <f>100 - S51</f>
        <v>66.1540493</v>
      </c>
    </row>
    <row r="52">
      <c r="B52" s="69"/>
      <c r="C52" s="217"/>
      <c r="D52" s="217"/>
      <c r="E52" s="217"/>
      <c r="F52" s="217"/>
      <c r="G52" s="217"/>
      <c r="H52" s="217"/>
      <c r="I52" s="217"/>
      <c r="J52" s="218"/>
      <c r="K52" s="218"/>
      <c r="L52" s="218"/>
      <c r="M52" s="218"/>
      <c r="N52" s="219"/>
      <c r="Q52" s="242"/>
      <c r="R52" s="1"/>
    </row>
    <row r="53">
      <c r="B53" s="98" t="s">
        <v>39</v>
      </c>
      <c r="C53" s="102">
        <f t="shared" ref="C53:N53" si="8">SUM(C51)</f>
        <v>644</v>
      </c>
      <c r="D53" s="102">
        <f t="shared" si="8"/>
        <v>644</v>
      </c>
      <c r="E53" s="102">
        <f t="shared" si="8"/>
        <v>644</v>
      </c>
      <c r="F53" s="102">
        <f t="shared" si="8"/>
        <v>644</v>
      </c>
      <c r="G53" s="102">
        <f t="shared" si="8"/>
        <v>644</v>
      </c>
      <c r="H53" s="102">
        <f t="shared" si="8"/>
        <v>644</v>
      </c>
      <c r="I53" s="106">
        <f t="shared" si="8"/>
        <v>644</v>
      </c>
      <c r="J53" s="108">
        <f t="shared" si="8"/>
        <v>644</v>
      </c>
      <c r="K53" s="108">
        <f t="shared" si="8"/>
        <v>644</v>
      </c>
      <c r="L53" s="108">
        <f t="shared" si="8"/>
        <v>644</v>
      </c>
      <c r="M53" s="108">
        <f t="shared" si="8"/>
        <v>644</v>
      </c>
      <c r="N53" s="145">
        <f t="shared" si="8"/>
        <v>644</v>
      </c>
      <c r="Q53" s="243" t="s">
        <v>39</v>
      </c>
      <c r="R53" s="244">
        <f>SUM(R49,R51,R46, R43:R45)</f>
        <v>768.98</v>
      </c>
      <c r="S53" s="246">
        <f>R53</f>
        <v>768.98</v>
      </c>
      <c r="T53" s="247">
        <f>MINUS(        
2272,S53)</f>
        <v>1503.02</v>
      </c>
    </row>
    <row r="55">
      <c r="O55" s="112">
        <f>SUM(C53:N53)</f>
        <v>7728</v>
      </c>
    </row>
  </sheetData>
  <mergeCells count="12">
    <mergeCell ref="Q14:S14"/>
    <mergeCell ref="Q23:T24"/>
    <mergeCell ref="Q27:T27"/>
    <mergeCell ref="Q38:T39"/>
    <mergeCell ref="S49:T49"/>
    <mergeCell ref="B2:O2"/>
    <mergeCell ref="Q5:T6"/>
    <mergeCell ref="Q9:S9"/>
    <mergeCell ref="Q10:S10"/>
    <mergeCell ref="Q11:S11"/>
    <mergeCell ref="Q12:S12"/>
    <mergeCell ref="Q13:S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38"/>
    <col customWidth="1" min="5" max="5" width="15.25"/>
    <col customWidth="1" min="6" max="6" width="15.5"/>
  </cols>
  <sheetData>
    <row r="2">
      <c r="D2" s="2" t="s">
        <v>0</v>
      </c>
      <c r="E2" s="3"/>
      <c r="F2" s="4"/>
      <c r="G2" s="6"/>
    </row>
    <row r="3">
      <c r="G3" s="6"/>
    </row>
    <row r="4">
      <c r="C4" s="8" t="s">
        <v>2</v>
      </c>
      <c r="D4" s="8" t="s">
        <v>3</v>
      </c>
      <c r="E4" s="8" t="s">
        <v>4</v>
      </c>
      <c r="F4" s="8" t="s">
        <v>5</v>
      </c>
      <c r="G4" s="10" t="s">
        <v>6</v>
      </c>
    </row>
    <row r="5">
      <c r="C5" s="12">
        <v>100.0</v>
      </c>
      <c r="D5" s="15" t="s">
        <v>10</v>
      </c>
      <c r="E5" s="12">
        <v>2126.86</v>
      </c>
      <c r="F5" s="16" t="s">
        <v>17</v>
      </c>
      <c r="G5" s="18" t="s">
        <v>20</v>
      </c>
    </row>
    <row r="6">
      <c r="C6" s="12">
        <v>10.0</v>
      </c>
      <c r="D6" s="21">
        <v>46212.0</v>
      </c>
      <c r="E6" s="12">
        <v>2170.41</v>
      </c>
      <c r="F6" s="16" t="s">
        <v>26</v>
      </c>
      <c r="G6" s="18" t="s">
        <v>20</v>
      </c>
    </row>
    <row r="7">
      <c r="C7" s="23">
        <v>9.99</v>
      </c>
      <c r="D7" s="15" t="s">
        <v>27</v>
      </c>
      <c r="E7" s="12">
        <v>2297.46</v>
      </c>
      <c r="F7" s="16" t="s">
        <v>28</v>
      </c>
      <c r="G7" s="25" t="s">
        <v>29</v>
      </c>
    </row>
    <row r="8">
      <c r="C8" s="34">
        <f>MIN(15-C7)</f>
        <v>5.01</v>
      </c>
      <c r="D8" s="15" t="s">
        <v>27</v>
      </c>
      <c r="E8" s="12">
        <v>2297.53</v>
      </c>
      <c r="F8" s="16" t="s">
        <v>32</v>
      </c>
      <c r="G8" s="18" t="s">
        <v>20</v>
      </c>
    </row>
    <row r="9">
      <c r="C9" s="23">
        <v>9.85</v>
      </c>
      <c r="D9" s="15" t="s">
        <v>27</v>
      </c>
      <c r="E9" s="12">
        <v>2297.46</v>
      </c>
      <c r="F9" s="16" t="s">
        <v>28</v>
      </c>
      <c r="G9" s="25" t="s">
        <v>29</v>
      </c>
    </row>
    <row r="10">
      <c r="C10" s="34">
        <v>5.0</v>
      </c>
      <c r="D10" s="15" t="s">
        <v>34</v>
      </c>
      <c r="E10" s="12">
        <v>2349.73</v>
      </c>
      <c r="F10" s="16" t="s">
        <v>35</v>
      </c>
      <c r="G10" s="18" t="s">
        <v>20</v>
      </c>
    </row>
    <row r="11">
      <c r="G11" s="6"/>
    </row>
    <row r="12">
      <c r="C12" s="1" t="s">
        <v>37</v>
      </c>
      <c r="G12" s="6"/>
    </row>
    <row r="13">
      <c r="C13" s="46">
        <f>SUM(C5:C6,C8,C10)</f>
        <v>120.01</v>
      </c>
      <c r="D13" s="48"/>
      <c r="E13" s="48"/>
      <c r="F13" s="49"/>
      <c r="G13" s="48"/>
    </row>
    <row r="15">
      <c r="C15" s="1" t="s">
        <v>47</v>
      </c>
      <c r="F15" s="1" t="s">
        <v>48</v>
      </c>
    </row>
    <row r="16">
      <c r="C16" s="51">
        <v>133.27</v>
      </c>
      <c r="D16" s="15" t="s">
        <v>34</v>
      </c>
      <c r="E16" s="12">
        <v>2351.77</v>
      </c>
      <c r="F16" s="25">
        <v>0.055666</v>
      </c>
      <c r="G16" s="48"/>
    </row>
    <row r="18">
      <c r="C18" s="1" t="s">
        <v>49</v>
      </c>
    </row>
    <row r="19">
      <c r="C19" s="46">
        <f>MIN(C16-C13)</f>
        <v>13.26</v>
      </c>
      <c r="D19" s="48"/>
      <c r="E19" s="48"/>
      <c r="F19" s="48"/>
      <c r="G19" s="48"/>
    </row>
  </sheetData>
  <mergeCells count="1">
    <mergeCell ref="D2:F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7.13"/>
    <col customWidth="1" min="3" max="3" width="40.63"/>
    <col customWidth="1" min="4" max="4" width="14.63"/>
    <col customWidth="1" min="5" max="5" width="23.0"/>
    <col customWidth="1" min="6" max="6" width="15.88"/>
    <col customWidth="1" min="7" max="7" width="22.38"/>
    <col customWidth="1" min="8" max="8" width="27.88"/>
    <col customWidth="1" min="9" max="9" width="23.75"/>
    <col customWidth="1" min="10" max="11" width="25.13"/>
    <col customWidth="1" min="12" max="12" width="27.38"/>
    <col customWidth="1" min="13" max="13" width="17.0"/>
    <col customWidth="1" min="14" max="14" width="10.5"/>
    <col customWidth="1" min="15" max="15" width="13.5"/>
    <col customWidth="1" min="16" max="16" width="13.75"/>
    <col customWidth="1" min="17" max="17" width="13.63"/>
  </cols>
  <sheetData>
    <row r="1" ht="23.25" customHeight="1">
      <c r="A1" s="1" t="s">
        <v>8</v>
      </c>
      <c r="E1" s="14"/>
    </row>
    <row r="2" ht="36.75" customHeight="1">
      <c r="F2" s="19" t="s">
        <v>19</v>
      </c>
      <c r="G2" s="7"/>
      <c r="H2" s="7"/>
      <c r="I2" s="9"/>
    </row>
    <row r="3" ht="24.0" customHeight="1">
      <c r="O3" s="6"/>
      <c r="P3" s="6"/>
    </row>
    <row r="4" ht="36.0" customHeight="1">
      <c r="A4" s="6"/>
      <c r="B4" s="35">
        <f>COUNT(B9:B38, B9:B53)</f>
        <v>71</v>
      </c>
      <c r="C4" s="37" t="s">
        <v>33</v>
      </c>
      <c r="D4" s="39" t="s">
        <v>36</v>
      </c>
      <c r="E4" s="41" t="s">
        <v>38</v>
      </c>
      <c r="F4" s="39" t="s">
        <v>39</v>
      </c>
      <c r="G4" s="39" t="s">
        <v>40</v>
      </c>
      <c r="H4" s="39" t="s">
        <v>41</v>
      </c>
      <c r="I4" s="39" t="s">
        <v>42</v>
      </c>
      <c r="J4" s="39" t="s">
        <v>43</v>
      </c>
      <c r="K4" s="39" t="s">
        <v>44</v>
      </c>
      <c r="L4" s="44" t="s">
        <v>45</v>
      </c>
      <c r="M4" s="47" t="s">
        <v>46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1.25" customHeight="1">
      <c r="A5" s="50"/>
      <c r="B5" s="52"/>
      <c r="C5" s="54"/>
      <c r="D5" s="56"/>
      <c r="E5" s="56"/>
      <c r="F5" s="56"/>
      <c r="G5" s="56"/>
      <c r="H5" s="56"/>
      <c r="I5" s="56"/>
      <c r="J5" s="56"/>
      <c r="K5" s="56"/>
      <c r="L5" s="56"/>
      <c r="M5" s="59"/>
      <c r="N5" s="50"/>
      <c r="O5" s="61"/>
      <c r="P5" s="62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</row>
    <row r="6" ht="27.0" customHeight="1">
      <c r="A6" s="50"/>
      <c r="B6" s="68">
        <f>COUNT(B9:B43)</f>
        <v>35</v>
      </c>
      <c r="C6" s="71"/>
      <c r="D6" s="3"/>
      <c r="E6" s="3"/>
      <c r="F6" s="3"/>
      <c r="G6" s="3"/>
      <c r="H6" s="3"/>
      <c r="I6" s="3"/>
      <c r="J6" s="3"/>
      <c r="K6" s="3"/>
      <c r="L6" s="3"/>
      <c r="M6" s="75"/>
      <c r="N6" s="50"/>
      <c r="O6" s="61"/>
      <c r="P6" s="62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</row>
    <row r="9">
      <c r="B9" s="80">
        <v>1.0</v>
      </c>
      <c r="C9" s="82" t="s">
        <v>53</v>
      </c>
      <c r="D9" s="84">
        <v>43749.0</v>
      </c>
      <c r="E9" s="84">
        <v>44045.0</v>
      </c>
      <c r="F9" s="87">
        <v>365.17</v>
      </c>
      <c r="G9" s="87">
        <v>93.57</v>
      </c>
      <c r="H9" s="89">
        <v>4.0</v>
      </c>
      <c r="I9" s="91">
        <v>0.0</v>
      </c>
      <c r="J9" s="93">
        <v>365.17</v>
      </c>
      <c r="K9" s="99">
        <f t="shared" ref="K9:K26" si="1">MULTIPLY(G9,I9)</f>
        <v>0</v>
      </c>
      <c r="L9" s="100" t="s">
        <v>56</v>
      </c>
      <c r="M9" s="101" t="s">
        <v>57</v>
      </c>
    </row>
    <row r="10">
      <c r="B10" s="80">
        <v>2.0</v>
      </c>
      <c r="C10" s="82" t="s">
        <v>58</v>
      </c>
      <c r="D10" s="84">
        <v>43833.0</v>
      </c>
      <c r="E10" s="84">
        <v>43835.0</v>
      </c>
      <c r="F10" s="87">
        <v>218.85</v>
      </c>
      <c r="G10" s="87">
        <v>72.96</v>
      </c>
      <c r="H10" s="103">
        <v>3.0</v>
      </c>
      <c r="I10" s="91">
        <v>0.0</v>
      </c>
      <c r="J10" s="104">
        <f t="shared" ref="J10:J17" si="2">MULTIPLY(MINUS(H10,I10),G10)</f>
        <v>218.88</v>
      </c>
      <c r="K10" s="99">
        <f t="shared" si="1"/>
        <v>0</v>
      </c>
      <c r="L10" s="100" t="s">
        <v>59</v>
      </c>
      <c r="M10" s="101" t="s">
        <v>57</v>
      </c>
    </row>
    <row r="11">
      <c r="B11" s="80">
        <v>4.0</v>
      </c>
      <c r="C11" s="82" t="s">
        <v>60</v>
      </c>
      <c r="D11" s="84">
        <v>44013.0</v>
      </c>
      <c r="E11" s="84">
        <v>44019.0</v>
      </c>
      <c r="F11" s="87">
        <v>223.98</v>
      </c>
      <c r="G11" s="87">
        <v>38.38</v>
      </c>
      <c r="H11" s="89">
        <v>6.0</v>
      </c>
      <c r="I11" s="91">
        <v>0.0</v>
      </c>
      <c r="J11" s="104">
        <f t="shared" si="2"/>
        <v>230.28</v>
      </c>
      <c r="K11" s="99">
        <f t="shared" si="1"/>
        <v>0</v>
      </c>
      <c r="L11" s="100" t="s">
        <v>56</v>
      </c>
      <c r="M11" s="101" t="s">
        <v>57</v>
      </c>
      <c r="O11" s="105"/>
    </row>
    <row r="12">
      <c r="B12" s="80">
        <v>5.0</v>
      </c>
      <c r="C12" s="82" t="s">
        <v>61</v>
      </c>
      <c r="D12" s="84">
        <v>44166.0</v>
      </c>
      <c r="E12" s="107">
        <v>44043.0</v>
      </c>
      <c r="F12" s="87">
        <v>288.19</v>
      </c>
      <c r="G12" s="87">
        <v>41.17</v>
      </c>
      <c r="H12" s="89">
        <v>7.0</v>
      </c>
      <c r="I12" s="91">
        <v>0.0</v>
      </c>
      <c r="J12" s="104">
        <f t="shared" si="2"/>
        <v>288.19</v>
      </c>
      <c r="K12" s="99">
        <f t="shared" si="1"/>
        <v>0</v>
      </c>
      <c r="L12" s="100" t="s">
        <v>62</v>
      </c>
      <c r="M12" s="101" t="s">
        <v>57</v>
      </c>
    </row>
    <row r="13">
      <c r="B13" s="80">
        <v>6.0</v>
      </c>
      <c r="C13" s="82" t="s">
        <v>63</v>
      </c>
      <c r="D13" s="107">
        <v>43863.0</v>
      </c>
      <c r="E13" s="107">
        <v>43869.0</v>
      </c>
      <c r="F13" s="110">
        <v>280.0</v>
      </c>
      <c r="G13" s="87">
        <v>46.67</v>
      </c>
      <c r="H13" s="111">
        <v>6.0</v>
      </c>
      <c r="I13" s="91">
        <v>0.0</v>
      </c>
      <c r="J13" s="93">
        <f t="shared" si="2"/>
        <v>280.02</v>
      </c>
      <c r="K13" s="87">
        <f t="shared" si="1"/>
        <v>0</v>
      </c>
      <c r="L13" s="100" t="s">
        <v>56</v>
      </c>
      <c r="M13" s="101" t="s">
        <v>57</v>
      </c>
    </row>
    <row r="14">
      <c r="B14" s="80">
        <v>7.0</v>
      </c>
      <c r="C14" s="82" t="s">
        <v>65</v>
      </c>
      <c r="D14" s="107">
        <v>43921.0</v>
      </c>
      <c r="E14" s="107">
        <v>44010.0</v>
      </c>
      <c r="F14" s="110">
        <v>121.9</v>
      </c>
      <c r="G14" s="110">
        <v>30.49</v>
      </c>
      <c r="H14" s="111">
        <v>4.0</v>
      </c>
      <c r="I14" s="91">
        <v>0.0</v>
      </c>
      <c r="J14" s="87">
        <f t="shared" si="2"/>
        <v>121.96</v>
      </c>
      <c r="K14" s="99">
        <f t="shared" si="1"/>
        <v>0</v>
      </c>
      <c r="L14" s="100" t="s">
        <v>56</v>
      </c>
      <c r="M14" s="101" t="s">
        <v>57</v>
      </c>
    </row>
    <row r="15">
      <c r="B15" s="80">
        <v>8.0</v>
      </c>
      <c r="C15" s="113" t="s">
        <v>68</v>
      </c>
      <c r="D15" s="114">
        <v>44169.0</v>
      </c>
      <c r="E15" s="114">
        <v>44173.0</v>
      </c>
      <c r="F15" s="116">
        <v>87.77</v>
      </c>
      <c r="G15" s="116">
        <v>22.49</v>
      </c>
      <c r="H15" s="117">
        <v>4.0</v>
      </c>
      <c r="I15" s="118">
        <v>0.0</v>
      </c>
      <c r="J15" s="116">
        <f t="shared" si="2"/>
        <v>89.96</v>
      </c>
      <c r="K15" s="116">
        <f t="shared" si="1"/>
        <v>0</v>
      </c>
      <c r="L15" s="120" t="s">
        <v>56</v>
      </c>
      <c r="M15" s="101" t="s">
        <v>57</v>
      </c>
    </row>
    <row r="16">
      <c r="B16" s="80">
        <v>11.0</v>
      </c>
      <c r="C16" s="82" t="s">
        <v>70</v>
      </c>
      <c r="D16" s="107">
        <v>43993.0</v>
      </c>
      <c r="E16" s="107">
        <v>43842.0</v>
      </c>
      <c r="F16" s="110">
        <v>322.29</v>
      </c>
      <c r="G16" s="110">
        <v>55.24</v>
      </c>
      <c r="H16" s="111">
        <v>6.0</v>
      </c>
      <c r="I16" s="91">
        <v>0.0</v>
      </c>
      <c r="J16" s="110">
        <f t="shared" si="2"/>
        <v>331.44</v>
      </c>
      <c r="K16" s="110">
        <f t="shared" si="1"/>
        <v>0</v>
      </c>
      <c r="L16" s="121" t="s">
        <v>56</v>
      </c>
      <c r="M16" s="101" t="s">
        <v>57</v>
      </c>
    </row>
    <row r="17">
      <c r="B17" s="123">
        <v>12.0</v>
      </c>
      <c r="C17" s="124" t="s">
        <v>71</v>
      </c>
      <c r="D17" s="126">
        <v>43995.0</v>
      </c>
      <c r="E17" s="114">
        <v>44144.0</v>
      </c>
      <c r="F17" s="116">
        <v>77.03</v>
      </c>
      <c r="G17" s="116">
        <v>19.25</v>
      </c>
      <c r="H17" s="117">
        <v>4.0</v>
      </c>
      <c r="I17" s="118">
        <v>0.0</v>
      </c>
      <c r="J17" s="116">
        <f t="shared" si="2"/>
        <v>77</v>
      </c>
      <c r="K17" s="116">
        <f t="shared" si="1"/>
        <v>0</v>
      </c>
      <c r="L17" s="118" t="s">
        <v>56</v>
      </c>
      <c r="M17" s="128" t="s">
        <v>57</v>
      </c>
    </row>
    <row r="18" ht="16.5" customHeight="1">
      <c r="A18" s="130"/>
      <c r="B18" s="131">
        <v>3.0</v>
      </c>
      <c r="C18" s="142" t="s">
        <v>72</v>
      </c>
      <c r="D18" s="91" t="s">
        <v>76</v>
      </c>
      <c r="E18" s="107">
        <v>44179.0</v>
      </c>
      <c r="F18" s="87">
        <v>527.64</v>
      </c>
      <c r="G18" s="87">
        <v>38.46</v>
      </c>
      <c r="H18" s="89">
        <v>12.0</v>
      </c>
      <c r="I18" s="91">
        <v>0.0</v>
      </c>
      <c r="J18" s="104">
        <f>66.15 +  MULTIPLY(MINUS(H18,I18),G18)</f>
        <v>527.67</v>
      </c>
      <c r="K18" s="99">
        <f t="shared" si="1"/>
        <v>0</v>
      </c>
      <c r="L18" s="100" t="s">
        <v>77</v>
      </c>
      <c r="M18" s="101" t="s">
        <v>57</v>
      </c>
      <c r="N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</row>
    <row r="19">
      <c r="B19" s="80">
        <v>15.0</v>
      </c>
      <c r="C19" s="82" t="s">
        <v>78</v>
      </c>
      <c r="D19" s="107">
        <v>44114.0</v>
      </c>
      <c r="E19" s="107">
        <v>44237.0</v>
      </c>
      <c r="F19" s="87">
        <v>161.92</v>
      </c>
      <c r="G19" s="87">
        <v>41.49</v>
      </c>
      <c r="H19" s="91">
        <v>4.0</v>
      </c>
      <c r="I19" s="91">
        <v>0.0</v>
      </c>
      <c r="J19" s="93">
        <f t="shared" ref="J19:J24" si="3">MULTIPLY(MINUS(H19,I19),G19)</f>
        <v>165.96</v>
      </c>
      <c r="K19" s="99">
        <f t="shared" si="1"/>
        <v>0</v>
      </c>
      <c r="L19" s="100" t="s">
        <v>79</v>
      </c>
      <c r="M19" s="101" t="s">
        <v>57</v>
      </c>
      <c r="O19" s="22"/>
      <c r="P19" s="146"/>
    </row>
    <row r="20">
      <c r="A20" s="50"/>
      <c r="B20" s="80">
        <v>16.0</v>
      </c>
      <c r="C20" s="82" t="s">
        <v>81</v>
      </c>
      <c r="D20" s="107">
        <v>44122.0</v>
      </c>
      <c r="E20" s="107">
        <v>44211.0</v>
      </c>
      <c r="F20" s="87">
        <v>209.99</v>
      </c>
      <c r="G20" s="87">
        <v>53.8</v>
      </c>
      <c r="H20" s="91">
        <v>4.0</v>
      </c>
      <c r="I20" s="91">
        <v>0.0</v>
      </c>
      <c r="J20" s="93">
        <f t="shared" si="3"/>
        <v>215.2</v>
      </c>
      <c r="K20" s="99">
        <f t="shared" si="1"/>
        <v>0</v>
      </c>
      <c r="L20" s="91" t="s">
        <v>79</v>
      </c>
      <c r="M20" s="101" t="s">
        <v>57</v>
      </c>
      <c r="O20" s="61"/>
      <c r="P20" s="62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</row>
    <row r="21">
      <c r="B21" s="80">
        <v>9.0</v>
      </c>
      <c r="C21" s="82" t="s">
        <v>83</v>
      </c>
      <c r="D21" s="149">
        <v>43939.0</v>
      </c>
      <c r="E21" s="107">
        <v>44229.0</v>
      </c>
      <c r="F21" s="110">
        <v>260.0</v>
      </c>
      <c r="G21" s="110">
        <v>26.01</v>
      </c>
      <c r="H21" s="111">
        <v>10.0</v>
      </c>
      <c r="I21" s="91">
        <v>0.0</v>
      </c>
      <c r="J21" s="110">
        <f t="shared" si="3"/>
        <v>260.1</v>
      </c>
      <c r="K21" s="110">
        <f t="shared" si="1"/>
        <v>0</v>
      </c>
      <c r="L21" s="100" t="s">
        <v>56</v>
      </c>
      <c r="M21" s="101" t="s">
        <v>57</v>
      </c>
    </row>
    <row r="22">
      <c r="A22" s="130"/>
      <c r="B22" s="152">
        <v>14.0</v>
      </c>
      <c r="C22" s="82" t="s">
        <v>84</v>
      </c>
      <c r="D22" s="107">
        <v>44174.0</v>
      </c>
      <c r="E22" s="154">
        <v>44230.0</v>
      </c>
      <c r="F22" s="110">
        <v>325.79</v>
      </c>
      <c r="G22" s="110">
        <v>55.5</v>
      </c>
      <c r="H22" s="111">
        <v>7.0</v>
      </c>
      <c r="I22" s="91">
        <v>0.0</v>
      </c>
      <c r="J22" s="110">
        <f t="shared" si="3"/>
        <v>388.5</v>
      </c>
      <c r="K22" s="110">
        <f t="shared" si="1"/>
        <v>0</v>
      </c>
      <c r="L22" s="91" t="s">
        <v>77</v>
      </c>
      <c r="M22" s="101" t="s">
        <v>57</v>
      </c>
      <c r="O22" s="22"/>
      <c r="P22" s="146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</row>
    <row r="23">
      <c r="A23" s="50"/>
      <c r="B23" s="80">
        <v>18.0</v>
      </c>
      <c r="C23" s="82" t="s">
        <v>86</v>
      </c>
      <c r="D23" s="157">
        <v>44149.0</v>
      </c>
      <c r="E23" s="107">
        <v>44240.0</v>
      </c>
      <c r="F23" s="87">
        <v>108.96</v>
      </c>
      <c r="G23" s="87">
        <v>27.92</v>
      </c>
      <c r="H23" s="91">
        <v>4.0</v>
      </c>
      <c r="I23" s="91">
        <v>0.0</v>
      </c>
      <c r="J23" s="93">
        <f t="shared" si="3"/>
        <v>111.68</v>
      </c>
      <c r="K23" s="99">
        <f t="shared" si="1"/>
        <v>0</v>
      </c>
      <c r="L23" s="91" t="s">
        <v>79</v>
      </c>
      <c r="M23" s="101" t="s">
        <v>57</v>
      </c>
      <c r="N23" s="50"/>
      <c r="O23" s="61"/>
      <c r="P23" s="159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</row>
    <row r="24">
      <c r="A24" s="50"/>
      <c r="B24" s="80">
        <v>20.0</v>
      </c>
      <c r="C24" s="82" t="s">
        <v>88</v>
      </c>
      <c r="D24" s="91" t="s">
        <v>89</v>
      </c>
      <c r="E24" s="107">
        <v>44281.0</v>
      </c>
      <c r="F24" s="87">
        <v>349.99</v>
      </c>
      <c r="G24" s="87">
        <v>89.68</v>
      </c>
      <c r="H24" s="91">
        <v>4.0</v>
      </c>
      <c r="I24" s="91">
        <v>0.0</v>
      </c>
      <c r="J24" s="93">
        <f t="shared" si="3"/>
        <v>358.72</v>
      </c>
      <c r="K24" s="99">
        <f t="shared" si="1"/>
        <v>0</v>
      </c>
      <c r="L24" s="91" t="s">
        <v>79</v>
      </c>
      <c r="M24" s="101" t="s">
        <v>57</v>
      </c>
      <c r="N24" s="50"/>
      <c r="O24" s="61"/>
      <c r="P24" s="62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</row>
    <row r="25">
      <c r="B25" s="80">
        <v>10.0</v>
      </c>
      <c r="C25" s="164" t="s">
        <v>90</v>
      </c>
      <c r="D25" s="107">
        <v>43945.0</v>
      </c>
      <c r="E25" s="107">
        <v>44534.0</v>
      </c>
      <c r="F25" s="110">
        <v>351.43</v>
      </c>
      <c r="G25" s="110">
        <v>25.61</v>
      </c>
      <c r="H25" s="111">
        <v>13.0</v>
      </c>
      <c r="I25" s="91">
        <v>0.0</v>
      </c>
      <c r="J25" s="110">
        <f>44.05 + MULTIPLY(MINUS(H25,I25),G25)</f>
        <v>376.98</v>
      </c>
      <c r="K25" s="110">
        <f t="shared" si="1"/>
        <v>0</v>
      </c>
      <c r="L25" s="91" t="s">
        <v>77</v>
      </c>
      <c r="M25" s="101" t="s">
        <v>57</v>
      </c>
      <c r="O25" s="22"/>
      <c r="P25" s="146"/>
    </row>
    <row r="26">
      <c r="A26" s="50"/>
      <c r="B26" s="80">
        <v>21.0</v>
      </c>
      <c r="C26" s="168" t="s">
        <v>95</v>
      </c>
      <c r="D26" s="169">
        <v>44260.0</v>
      </c>
      <c r="E26" s="107">
        <v>44350.0</v>
      </c>
      <c r="F26" s="93">
        <v>455.96</v>
      </c>
      <c r="G26" s="87">
        <v>113.99</v>
      </c>
      <c r="H26" s="91">
        <v>4.0</v>
      </c>
      <c r="I26" s="91">
        <v>0.0</v>
      </c>
      <c r="J26" s="93">
        <f t="shared" ref="J26:J36" si="4">MULTIPLY(MINUS(H26,I26),G26)</f>
        <v>455.96</v>
      </c>
      <c r="K26" s="99">
        <f t="shared" si="1"/>
        <v>0</v>
      </c>
      <c r="L26" s="91" t="s">
        <v>98</v>
      </c>
      <c r="M26" s="101" t="s">
        <v>57</v>
      </c>
      <c r="N26" s="50"/>
      <c r="O26" s="61"/>
      <c r="P26" s="62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</row>
    <row r="27">
      <c r="A27" s="50"/>
      <c r="B27" s="174">
        <v>22.0</v>
      </c>
      <c r="C27" s="168" t="s">
        <v>100</v>
      </c>
      <c r="D27" s="176">
        <v>44260.0</v>
      </c>
      <c r="E27" s="107">
        <v>44353.0</v>
      </c>
      <c r="F27" s="87">
        <v>143.24</v>
      </c>
      <c r="G27" s="178">
        <v>35.81</v>
      </c>
      <c r="H27" s="91">
        <v>4.0</v>
      </c>
      <c r="I27" s="91">
        <v>0.0</v>
      </c>
      <c r="J27" s="93">
        <f t="shared" si="4"/>
        <v>143.24</v>
      </c>
      <c r="K27" s="99">
        <f>MULTIPLY(G26,I26)</f>
        <v>0</v>
      </c>
      <c r="L27" s="91" t="s">
        <v>102</v>
      </c>
      <c r="M27" s="101" t="s">
        <v>57</v>
      </c>
      <c r="N27" s="50"/>
      <c r="O27" s="61"/>
      <c r="P27" s="62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</row>
    <row r="28">
      <c r="A28" s="50"/>
      <c r="B28" s="80">
        <v>23.0</v>
      </c>
      <c r="C28" s="181" t="s">
        <v>103</v>
      </c>
      <c r="D28" s="182">
        <v>44260.0</v>
      </c>
      <c r="E28" s="183">
        <v>44368.0</v>
      </c>
      <c r="F28" s="184">
        <v>171.76</v>
      </c>
      <c r="G28" s="184">
        <v>42.94</v>
      </c>
      <c r="H28" s="185">
        <v>4.0</v>
      </c>
      <c r="I28" s="185">
        <v>0.0</v>
      </c>
      <c r="J28" s="187">
        <f t="shared" si="4"/>
        <v>171.76</v>
      </c>
      <c r="K28" s="190">
        <f>MULTIPLY(G26,I26)</f>
        <v>0</v>
      </c>
      <c r="L28" s="185" t="s">
        <v>106</v>
      </c>
      <c r="M28" s="192" t="s">
        <v>57</v>
      </c>
      <c r="N28" s="50"/>
      <c r="O28" s="61"/>
      <c r="P28" s="62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</row>
    <row r="29">
      <c r="A29" s="50"/>
      <c r="B29" s="80">
        <v>24.0</v>
      </c>
      <c r="C29" s="181" t="s">
        <v>109</v>
      </c>
      <c r="D29" s="182">
        <v>44291.0</v>
      </c>
      <c r="E29" s="183">
        <v>44382.0</v>
      </c>
      <c r="F29" s="184">
        <v>522.29</v>
      </c>
      <c r="G29" s="184">
        <v>133.92</v>
      </c>
      <c r="H29" s="185">
        <v>4.0</v>
      </c>
      <c r="I29" s="185">
        <v>0.0</v>
      </c>
      <c r="J29" s="187">
        <f t="shared" si="4"/>
        <v>535.68</v>
      </c>
      <c r="K29" s="190">
        <f>MULTIPLY(G29, I29)</f>
        <v>0</v>
      </c>
      <c r="L29" s="185" t="s">
        <v>110</v>
      </c>
      <c r="M29" s="192" t="s">
        <v>57</v>
      </c>
      <c r="N29" s="50"/>
      <c r="O29" s="61"/>
      <c r="P29" s="62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</row>
    <row r="30">
      <c r="A30" s="50"/>
      <c r="B30" s="123">
        <v>17.0</v>
      </c>
      <c r="C30" s="181" t="s">
        <v>111</v>
      </c>
      <c r="D30" s="183">
        <v>44141.0</v>
      </c>
      <c r="E30" s="183">
        <v>44410.0</v>
      </c>
      <c r="F30" s="202">
        <v>602.4</v>
      </c>
      <c r="G30" s="202">
        <v>60.24</v>
      </c>
      <c r="H30" s="185">
        <v>11.0</v>
      </c>
      <c r="I30" s="185">
        <v>0.0</v>
      </c>
      <c r="J30" s="206">
        <f t="shared" si="4"/>
        <v>662.64</v>
      </c>
      <c r="K30" s="190">
        <f>MULTIPLY(G30,I30)</f>
        <v>0</v>
      </c>
      <c r="L30" s="185" t="s">
        <v>77</v>
      </c>
      <c r="M30" s="192" t="s">
        <v>57</v>
      </c>
      <c r="N30" s="50"/>
      <c r="O30" s="61"/>
      <c r="P30" s="159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</row>
    <row r="31">
      <c r="A31" s="211"/>
      <c r="B31" s="80">
        <v>26.0</v>
      </c>
      <c r="C31" s="181" t="s">
        <v>116</v>
      </c>
      <c r="D31" s="182">
        <v>44297.0</v>
      </c>
      <c r="E31" s="183">
        <v>44387.0</v>
      </c>
      <c r="F31" s="184">
        <v>139.21</v>
      </c>
      <c r="G31" s="184">
        <v>35.81</v>
      </c>
      <c r="H31" s="185">
        <v>4.0</v>
      </c>
      <c r="I31" s="185">
        <v>0.0</v>
      </c>
      <c r="J31" s="187">
        <f t="shared" si="4"/>
        <v>143.24</v>
      </c>
      <c r="K31" s="190">
        <f t="shared" ref="K31:K43" si="5">MULTIPLY(G31, I31)</f>
        <v>0</v>
      </c>
      <c r="L31" s="185" t="s">
        <v>102</v>
      </c>
      <c r="M31" s="192" t="s">
        <v>57</v>
      </c>
      <c r="N31" s="211"/>
      <c r="O31" s="222"/>
      <c r="P31" s="223"/>
      <c r="Q31" s="211"/>
      <c r="R31" s="211"/>
      <c r="S31" s="211"/>
      <c r="T31" s="211"/>
      <c r="U31" s="211"/>
      <c r="V31" s="211"/>
      <c r="W31" s="211"/>
      <c r="X31" s="211"/>
      <c r="Y31" s="211"/>
      <c r="Z31" s="211"/>
      <c r="AA31" s="211"/>
      <c r="AB31" s="211"/>
      <c r="AC31" s="211"/>
      <c r="AD31" s="211"/>
    </row>
    <row r="32">
      <c r="A32" s="50"/>
      <c r="B32" s="80">
        <v>25.0</v>
      </c>
      <c r="C32" s="181" t="s">
        <v>120</v>
      </c>
      <c r="D32" s="182">
        <v>44289.0</v>
      </c>
      <c r="E32" s="183">
        <v>44380.0</v>
      </c>
      <c r="F32" s="184">
        <v>223.16</v>
      </c>
      <c r="G32" s="184">
        <v>55.79</v>
      </c>
      <c r="H32" s="185">
        <v>4.0</v>
      </c>
      <c r="I32" s="185">
        <v>0.0</v>
      </c>
      <c r="J32" s="187">
        <f t="shared" si="4"/>
        <v>223.16</v>
      </c>
      <c r="K32" s="190">
        <f t="shared" si="5"/>
        <v>0</v>
      </c>
      <c r="L32" s="185" t="s">
        <v>121</v>
      </c>
      <c r="M32" s="192" t="s">
        <v>57</v>
      </c>
      <c r="N32" s="50"/>
      <c r="O32" s="61"/>
      <c r="P32" s="62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</row>
    <row r="33">
      <c r="A33" s="50"/>
      <c r="B33" s="80">
        <v>30.0</v>
      </c>
      <c r="C33" s="181" t="s">
        <v>122</v>
      </c>
      <c r="D33" s="182">
        <v>44383.0</v>
      </c>
      <c r="E33" s="224">
        <v>44415.0</v>
      </c>
      <c r="F33" s="184">
        <v>351.96</v>
      </c>
      <c r="G33" s="184">
        <v>113.59</v>
      </c>
      <c r="H33" s="185">
        <v>3.0</v>
      </c>
      <c r="I33" s="185">
        <v>0.0</v>
      </c>
      <c r="J33" s="187">
        <f t="shared" si="4"/>
        <v>340.77</v>
      </c>
      <c r="K33" s="190">
        <f t="shared" si="5"/>
        <v>0</v>
      </c>
      <c r="L33" s="229" t="s">
        <v>124</v>
      </c>
      <c r="M33" s="192" t="s">
        <v>57</v>
      </c>
      <c r="N33" s="50"/>
      <c r="O33" s="61"/>
      <c r="P33" s="62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</row>
    <row r="34" ht="18.75" customHeight="1">
      <c r="A34" s="50"/>
      <c r="B34" s="80">
        <v>28.0</v>
      </c>
      <c r="C34" s="168" t="s">
        <v>125</v>
      </c>
      <c r="D34" s="231">
        <v>44379.0</v>
      </c>
      <c r="E34" s="176">
        <v>44472.0</v>
      </c>
      <c r="F34" s="178">
        <v>224.35</v>
      </c>
      <c r="G34" s="178">
        <v>57.48</v>
      </c>
      <c r="H34" s="91">
        <v>4.0</v>
      </c>
      <c r="I34" s="91">
        <v>0.0</v>
      </c>
      <c r="J34" s="233">
        <f t="shared" si="4"/>
        <v>229.92</v>
      </c>
      <c r="K34" s="99">
        <f t="shared" si="5"/>
        <v>0</v>
      </c>
      <c r="L34" s="91" t="s">
        <v>129</v>
      </c>
      <c r="M34" s="101" t="s">
        <v>57</v>
      </c>
      <c r="N34" s="50"/>
      <c r="O34" s="61"/>
      <c r="P34" s="62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</row>
    <row r="35">
      <c r="A35" s="50"/>
      <c r="B35" s="123">
        <v>33.0</v>
      </c>
      <c r="C35" s="168" t="s">
        <v>130</v>
      </c>
      <c r="D35" s="91" t="s">
        <v>131</v>
      </c>
      <c r="E35" s="91" t="s">
        <v>133</v>
      </c>
      <c r="F35" s="87">
        <v>714.76</v>
      </c>
      <c r="G35" s="87">
        <v>178.69</v>
      </c>
      <c r="H35" s="91">
        <v>4.0</v>
      </c>
      <c r="I35" s="91">
        <v>0.0</v>
      </c>
      <c r="J35" s="93">
        <f t="shared" si="4"/>
        <v>714.76</v>
      </c>
      <c r="K35" s="99">
        <f t="shared" si="5"/>
        <v>0</v>
      </c>
      <c r="L35" s="91" t="s">
        <v>108</v>
      </c>
      <c r="M35" s="101" t="s">
        <v>57</v>
      </c>
      <c r="N35" s="50"/>
      <c r="O35" s="61"/>
      <c r="P35" s="159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</row>
    <row r="36">
      <c r="A36" s="50"/>
      <c r="B36" s="80">
        <v>29.0</v>
      </c>
      <c r="C36" s="168" t="s">
        <v>136</v>
      </c>
      <c r="D36" s="231">
        <v>44429.0</v>
      </c>
      <c r="E36" s="176">
        <v>44521.0</v>
      </c>
      <c r="F36" s="178">
        <v>67.44</v>
      </c>
      <c r="G36" s="178">
        <v>15.9</v>
      </c>
      <c r="H36" s="91">
        <v>4.0</v>
      </c>
      <c r="I36" s="91">
        <v>0.0</v>
      </c>
      <c r="J36" s="233">
        <f t="shared" si="4"/>
        <v>63.6</v>
      </c>
      <c r="K36" s="233">
        <f t="shared" si="5"/>
        <v>0</v>
      </c>
      <c r="L36" s="91" t="s">
        <v>138</v>
      </c>
      <c r="M36" s="101" t="s">
        <v>57</v>
      </c>
      <c r="N36" s="50"/>
      <c r="O36" s="61"/>
      <c r="P36" s="62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</row>
    <row r="37">
      <c r="A37" s="50"/>
      <c r="B37" s="80">
        <v>34.0</v>
      </c>
      <c r="C37" s="168" t="s">
        <v>139</v>
      </c>
      <c r="D37" s="231">
        <v>44458.0</v>
      </c>
      <c r="E37" s="91" t="s">
        <v>140</v>
      </c>
      <c r="F37" s="178">
        <v>130.85</v>
      </c>
      <c r="G37" s="178">
        <v>31.45</v>
      </c>
      <c r="H37" s="91">
        <v>4.0</v>
      </c>
      <c r="I37" s="91">
        <v>0.0</v>
      </c>
      <c r="J37" s="233">
        <f>MULTIPLY(MINUS(H37,I37),G37) + 5.03</f>
        <v>130.83</v>
      </c>
      <c r="K37" s="233">
        <f t="shared" si="5"/>
        <v>0</v>
      </c>
      <c r="L37" s="91" t="s">
        <v>141</v>
      </c>
      <c r="M37" s="101" t="s">
        <v>57</v>
      </c>
      <c r="N37" s="50"/>
      <c r="O37" s="61"/>
      <c r="P37" s="62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</row>
    <row r="38">
      <c r="A38" s="50"/>
      <c r="B38" s="80">
        <v>35.0</v>
      </c>
      <c r="C38" s="168" t="s">
        <v>142</v>
      </c>
      <c r="D38" s="231">
        <v>44461.0</v>
      </c>
      <c r="E38" s="91" t="s">
        <v>143</v>
      </c>
      <c r="F38" s="178">
        <v>305.45</v>
      </c>
      <c r="G38" s="178">
        <v>52.0</v>
      </c>
      <c r="H38" s="91">
        <v>3.0</v>
      </c>
      <c r="I38" s="91">
        <v>0.0</v>
      </c>
      <c r="J38" s="233">
        <f>MULTIPLY(MINUS(H38,I38),G38) + 149.45</f>
        <v>305.45</v>
      </c>
      <c r="K38" s="233">
        <f t="shared" si="5"/>
        <v>0</v>
      </c>
      <c r="L38" s="91" t="s">
        <v>144</v>
      </c>
      <c r="M38" s="245" t="s">
        <v>57</v>
      </c>
      <c r="N38" s="50"/>
      <c r="O38" s="61"/>
      <c r="P38" s="62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</row>
    <row r="39">
      <c r="A39" s="50"/>
      <c r="B39" s="80">
        <v>36.0</v>
      </c>
      <c r="C39" s="168" t="s">
        <v>145</v>
      </c>
      <c r="D39" s="231">
        <v>44505.0</v>
      </c>
      <c r="E39" s="176">
        <v>44201.0</v>
      </c>
      <c r="F39" s="178">
        <v>351.89</v>
      </c>
      <c r="G39" s="178">
        <v>190.83</v>
      </c>
      <c r="H39" s="91">
        <v>2.0</v>
      </c>
      <c r="I39" s="91">
        <v>0.0</v>
      </c>
      <c r="J39" s="233">
        <f t="shared" ref="J39:J56" si="6">MULTIPLY(MINUS(H39,I39),G39)</f>
        <v>381.66</v>
      </c>
      <c r="K39" s="233">
        <f t="shared" si="5"/>
        <v>0</v>
      </c>
      <c r="L39" s="91" t="s">
        <v>108</v>
      </c>
      <c r="M39" s="101" t="s">
        <v>57</v>
      </c>
      <c r="N39" s="50"/>
      <c r="O39" s="61"/>
      <c r="P39" s="62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</row>
    <row r="40">
      <c r="A40" s="50"/>
      <c r="B40" s="248">
        <v>41.0</v>
      </c>
      <c r="C40" s="249" t="s">
        <v>146</v>
      </c>
      <c r="D40" s="182">
        <v>44527.0</v>
      </c>
      <c r="E40" s="224">
        <v>44197.0</v>
      </c>
      <c r="F40" s="184">
        <v>42.21</v>
      </c>
      <c r="G40" s="184">
        <v>14.78</v>
      </c>
      <c r="H40" s="185">
        <v>3.0</v>
      </c>
      <c r="I40" s="185">
        <v>0.0</v>
      </c>
      <c r="J40" s="187">
        <f t="shared" si="6"/>
        <v>44.34</v>
      </c>
      <c r="K40" s="187">
        <f t="shared" si="5"/>
        <v>0</v>
      </c>
      <c r="L40" s="185" t="s">
        <v>147</v>
      </c>
      <c r="M40" s="192" t="s">
        <v>57</v>
      </c>
      <c r="N40" s="50"/>
      <c r="O40" s="61"/>
      <c r="P40" s="62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</row>
    <row r="41">
      <c r="A41" s="50"/>
      <c r="B41" s="248">
        <v>37.0</v>
      </c>
      <c r="C41" s="168" t="s">
        <v>148</v>
      </c>
      <c r="D41" s="231">
        <v>44476.0</v>
      </c>
      <c r="E41" s="176">
        <v>44202.0</v>
      </c>
      <c r="F41" s="178">
        <v>137.8</v>
      </c>
      <c r="G41" s="178">
        <v>34.45</v>
      </c>
      <c r="H41" s="91">
        <v>4.0</v>
      </c>
      <c r="I41" s="91">
        <v>0.0</v>
      </c>
      <c r="J41" s="233">
        <f t="shared" si="6"/>
        <v>137.8</v>
      </c>
      <c r="K41" s="233">
        <f t="shared" si="5"/>
        <v>0</v>
      </c>
      <c r="L41" s="91" t="s">
        <v>149</v>
      </c>
      <c r="M41" s="101" t="s">
        <v>57</v>
      </c>
      <c r="N41" s="50"/>
      <c r="O41" s="61"/>
      <c r="P41" s="62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</row>
    <row r="42">
      <c r="A42" s="50"/>
      <c r="B42" s="248">
        <v>39.0</v>
      </c>
      <c r="C42" s="168" t="s">
        <v>150</v>
      </c>
      <c r="D42" s="250">
        <v>44511.0</v>
      </c>
      <c r="E42" s="176">
        <v>44236.0</v>
      </c>
      <c r="F42" s="178">
        <v>164.99</v>
      </c>
      <c r="G42" s="178">
        <v>41.24</v>
      </c>
      <c r="H42" s="91">
        <v>4.0</v>
      </c>
      <c r="I42" s="91">
        <v>0.0</v>
      </c>
      <c r="J42" s="233">
        <f t="shared" si="6"/>
        <v>164.96</v>
      </c>
      <c r="K42" s="233">
        <f t="shared" si="5"/>
        <v>0</v>
      </c>
      <c r="L42" s="91" t="s">
        <v>151</v>
      </c>
      <c r="M42" s="101" t="s">
        <v>57</v>
      </c>
      <c r="N42" s="50"/>
      <c r="O42" s="61"/>
      <c r="P42" s="62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</row>
    <row r="43">
      <c r="A43" s="50"/>
      <c r="B43" s="248">
        <v>40.0</v>
      </c>
      <c r="C43" s="168" t="s">
        <v>152</v>
      </c>
      <c r="D43" s="231">
        <v>44522.0</v>
      </c>
      <c r="E43" s="176">
        <v>44236.0</v>
      </c>
      <c r="F43" s="178">
        <v>169.99</v>
      </c>
      <c r="G43" s="178">
        <v>42.49</v>
      </c>
      <c r="H43" s="91">
        <v>4.0</v>
      </c>
      <c r="I43" s="91">
        <v>0.0</v>
      </c>
      <c r="J43" s="233">
        <f t="shared" si="6"/>
        <v>169.96</v>
      </c>
      <c r="K43" s="233">
        <f t="shared" si="5"/>
        <v>0</v>
      </c>
      <c r="L43" s="91" t="s">
        <v>151</v>
      </c>
      <c r="M43" s="101" t="s">
        <v>57</v>
      </c>
      <c r="N43" s="50"/>
      <c r="O43" s="61"/>
      <c r="P43" s="62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</row>
    <row r="44">
      <c r="A44" s="50"/>
      <c r="B44" s="248">
        <v>39.0</v>
      </c>
      <c r="C44" s="168" t="s">
        <v>153</v>
      </c>
      <c r="D44" s="251" t="s">
        <v>154</v>
      </c>
      <c r="E44" s="176">
        <v>44686.0</v>
      </c>
      <c r="F44" s="178">
        <v>146.54</v>
      </c>
      <c r="G44" s="178">
        <v>146.54</v>
      </c>
      <c r="H44" s="91">
        <v>1.0</v>
      </c>
      <c r="I44" s="91">
        <v>0.0</v>
      </c>
      <c r="J44" s="252">
        <f t="shared" si="6"/>
        <v>146.54</v>
      </c>
      <c r="K44" s="233">
        <f t="shared" ref="K44:K48" si="7">MULTIPLY(G44,I44)</f>
        <v>0</v>
      </c>
      <c r="L44" s="91" t="s">
        <v>108</v>
      </c>
      <c r="M44" s="101" t="s">
        <v>57</v>
      </c>
      <c r="N44" s="50"/>
      <c r="O44" s="61"/>
      <c r="P44" s="62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</row>
    <row r="45">
      <c r="A45" s="50"/>
      <c r="B45" s="248">
        <v>38.0</v>
      </c>
      <c r="C45" s="253" t="s">
        <v>155</v>
      </c>
      <c r="D45" s="254">
        <v>44717.0</v>
      </c>
      <c r="E45" s="255">
        <v>44717.0</v>
      </c>
      <c r="F45" s="256">
        <v>120.95</v>
      </c>
      <c r="G45" s="256">
        <v>120.95</v>
      </c>
      <c r="H45" s="257">
        <v>1.0</v>
      </c>
      <c r="I45" s="257">
        <v>0.0</v>
      </c>
      <c r="J45" s="258">
        <f t="shared" si="6"/>
        <v>120.95</v>
      </c>
      <c r="K45" s="187">
        <f t="shared" si="7"/>
        <v>0</v>
      </c>
      <c r="L45" s="185" t="s">
        <v>108</v>
      </c>
      <c r="M45" s="192" t="s">
        <v>57</v>
      </c>
      <c r="N45" s="50"/>
      <c r="O45" s="61"/>
      <c r="P45" s="62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</row>
    <row r="46">
      <c r="A46" s="50"/>
      <c r="B46" s="152">
        <v>37.0</v>
      </c>
      <c r="C46" s="259" t="s">
        <v>156</v>
      </c>
      <c r="D46" s="260">
        <v>44747.0</v>
      </c>
      <c r="E46" s="261">
        <v>44839.0</v>
      </c>
      <c r="F46" s="262">
        <v>459.45</v>
      </c>
      <c r="G46" s="262">
        <v>116.83</v>
      </c>
      <c r="H46" s="121">
        <v>4.0</v>
      </c>
      <c r="I46" s="121">
        <v>0.0</v>
      </c>
      <c r="J46" s="252">
        <f t="shared" si="6"/>
        <v>467.32</v>
      </c>
      <c r="K46" s="233">
        <f t="shared" si="7"/>
        <v>0</v>
      </c>
      <c r="L46" s="91" t="s">
        <v>108</v>
      </c>
      <c r="M46" s="101" t="s">
        <v>57</v>
      </c>
      <c r="N46" s="50"/>
      <c r="O46" s="61"/>
      <c r="P46" s="62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</row>
    <row r="47" ht="18.75" customHeight="1">
      <c r="A47" s="263"/>
      <c r="B47" s="80">
        <v>0.0</v>
      </c>
      <c r="C47" s="168" t="s">
        <v>157</v>
      </c>
      <c r="D47" s="107">
        <v>43779.0</v>
      </c>
      <c r="E47" s="107">
        <v>45299.0</v>
      </c>
      <c r="F47" s="110">
        <v>1935.82</v>
      </c>
      <c r="G47" s="110">
        <v>100.04</v>
      </c>
      <c r="H47" s="111">
        <v>36.0</v>
      </c>
      <c r="I47" s="91">
        <v>0.0</v>
      </c>
      <c r="J47" s="264">
        <f t="shared" si="6"/>
        <v>3601.44</v>
      </c>
      <c r="K47" s="110">
        <f t="shared" si="7"/>
        <v>0</v>
      </c>
      <c r="L47" s="265" t="s">
        <v>56</v>
      </c>
      <c r="M47" s="101" t="s">
        <v>57</v>
      </c>
      <c r="N47" s="263"/>
      <c r="O47" s="266"/>
      <c r="P47" s="267"/>
      <c r="Q47" s="263"/>
      <c r="R47" s="263"/>
      <c r="S47" s="263"/>
      <c r="T47" s="263"/>
      <c r="U47" s="263"/>
      <c r="V47" s="263"/>
      <c r="W47" s="263"/>
      <c r="X47" s="263"/>
      <c r="Y47" s="263"/>
      <c r="Z47" s="263"/>
      <c r="AA47" s="263"/>
      <c r="AB47" s="263"/>
      <c r="AC47" s="263"/>
      <c r="AD47" s="263"/>
    </row>
    <row r="48" ht="18.0" customHeight="1">
      <c r="A48" s="268"/>
      <c r="B48" s="80">
        <v>42.0</v>
      </c>
      <c r="C48" s="164" t="s">
        <v>158</v>
      </c>
      <c r="D48" s="157">
        <v>44885.0</v>
      </c>
      <c r="E48" s="157">
        <v>45005.0</v>
      </c>
      <c r="F48" s="87">
        <v>1200.0</v>
      </c>
      <c r="G48" s="87">
        <v>240.0</v>
      </c>
      <c r="H48" s="91">
        <v>5.0</v>
      </c>
      <c r="I48" s="91">
        <v>0.0</v>
      </c>
      <c r="J48" s="233">
        <f t="shared" si="6"/>
        <v>1200</v>
      </c>
      <c r="K48" s="233">
        <f t="shared" si="7"/>
        <v>0</v>
      </c>
      <c r="L48" s="91" t="s">
        <v>159</v>
      </c>
      <c r="M48" s="101" t="s">
        <v>57</v>
      </c>
      <c r="N48" s="268"/>
      <c r="O48" s="269"/>
      <c r="P48" s="270"/>
      <c r="Q48" s="268"/>
      <c r="R48" s="268"/>
      <c r="S48" s="268"/>
      <c r="T48" s="268"/>
      <c r="U48" s="268"/>
      <c r="V48" s="268"/>
      <c r="W48" s="268"/>
      <c r="X48" s="268"/>
      <c r="Y48" s="268"/>
      <c r="Z48" s="268"/>
      <c r="AA48" s="268"/>
      <c r="AB48" s="268"/>
      <c r="AC48" s="268"/>
      <c r="AD48" s="268"/>
    </row>
    <row r="49" ht="17.25" customHeight="1">
      <c r="A49" s="263"/>
      <c r="B49" s="80">
        <v>2.0</v>
      </c>
      <c r="C49" s="168" t="s">
        <v>160</v>
      </c>
      <c r="D49" s="231">
        <v>44442.0</v>
      </c>
      <c r="E49" s="107">
        <v>45200.0</v>
      </c>
      <c r="F49" s="178">
        <v>1493.0</v>
      </c>
      <c r="G49" s="178">
        <v>60.53</v>
      </c>
      <c r="H49" s="91">
        <v>24.0</v>
      </c>
      <c r="I49" s="91">
        <v>0.0</v>
      </c>
      <c r="J49" s="252">
        <f t="shared" si="6"/>
        <v>1452.72</v>
      </c>
      <c r="K49" s="271">
        <f t="shared" ref="K49:K56" si="8">MULTIPLY(G49, I49)</f>
        <v>0</v>
      </c>
      <c r="L49" s="272" t="s">
        <v>161</v>
      </c>
      <c r="M49" s="101" t="s">
        <v>57</v>
      </c>
      <c r="N49" s="263"/>
      <c r="O49" s="266"/>
      <c r="P49" s="267"/>
      <c r="Q49" s="263"/>
      <c r="R49" s="263"/>
      <c r="S49" s="263"/>
      <c r="T49" s="263"/>
      <c r="U49" s="263"/>
      <c r="V49" s="263"/>
      <c r="W49" s="263"/>
      <c r="X49" s="263"/>
      <c r="Y49" s="263"/>
      <c r="Z49" s="263"/>
      <c r="AA49" s="263"/>
      <c r="AB49" s="263"/>
      <c r="AC49" s="263"/>
      <c r="AD49" s="263"/>
    </row>
    <row r="50">
      <c r="A50" s="273"/>
      <c r="B50" s="274" t="s">
        <v>57</v>
      </c>
      <c r="C50" s="164" t="s">
        <v>73</v>
      </c>
      <c r="D50" s="157">
        <v>45127.0</v>
      </c>
      <c r="E50" s="157">
        <v>45493.0</v>
      </c>
      <c r="F50" s="87">
        <v>1141.47</v>
      </c>
      <c r="G50" s="87">
        <v>95.11</v>
      </c>
      <c r="H50" s="91">
        <v>12.0</v>
      </c>
      <c r="I50" s="91">
        <v>0.0</v>
      </c>
      <c r="J50" s="275">
        <f t="shared" si="6"/>
        <v>1141.32</v>
      </c>
      <c r="K50" s="276">
        <f t="shared" si="8"/>
        <v>0</v>
      </c>
      <c r="L50" s="265" t="s">
        <v>162</v>
      </c>
      <c r="M50" s="101" t="s">
        <v>57</v>
      </c>
      <c r="N50" s="273"/>
      <c r="O50" s="277"/>
      <c r="P50" s="278"/>
      <c r="Q50" s="273"/>
      <c r="R50" s="273"/>
      <c r="S50" s="273"/>
      <c r="T50" s="273"/>
      <c r="U50" s="273"/>
      <c r="V50" s="273"/>
      <c r="W50" s="273"/>
      <c r="X50" s="273"/>
      <c r="Y50" s="273"/>
      <c r="Z50" s="273"/>
      <c r="AA50" s="273"/>
      <c r="AB50" s="273"/>
      <c r="AC50" s="273"/>
      <c r="AD50" s="273"/>
    </row>
    <row r="51">
      <c r="A51" s="279"/>
      <c r="B51" s="280" t="s">
        <v>57</v>
      </c>
      <c r="C51" s="168" t="s">
        <v>163</v>
      </c>
      <c r="D51" s="231">
        <v>44382.0</v>
      </c>
      <c r="E51" s="107">
        <v>45478.0</v>
      </c>
      <c r="F51" s="178">
        <v>3720.96</v>
      </c>
      <c r="G51" s="178">
        <v>103.36</v>
      </c>
      <c r="H51" s="91">
        <v>36.0</v>
      </c>
      <c r="I51" s="91">
        <v>0.0</v>
      </c>
      <c r="J51" s="252">
        <f t="shared" si="6"/>
        <v>3720.96</v>
      </c>
      <c r="K51" s="271">
        <f t="shared" si="8"/>
        <v>0</v>
      </c>
      <c r="L51" s="265" t="s">
        <v>50</v>
      </c>
      <c r="M51" s="101" t="s">
        <v>57</v>
      </c>
      <c r="N51" s="279"/>
      <c r="O51" s="281"/>
      <c r="P51" s="282"/>
      <c r="Q51" s="279"/>
      <c r="R51" s="279"/>
      <c r="S51" s="279"/>
      <c r="T51" s="279"/>
      <c r="U51" s="279"/>
      <c r="V51" s="279"/>
      <c r="W51" s="279"/>
      <c r="X51" s="279"/>
      <c r="Y51" s="279"/>
      <c r="Z51" s="279"/>
      <c r="AA51" s="279"/>
      <c r="AB51" s="279"/>
      <c r="AC51" s="279"/>
      <c r="AD51" s="279"/>
    </row>
    <row r="52" ht="19.5" customHeight="1">
      <c r="A52" s="28"/>
      <c r="B52" s="283" t="s">
        <v>57</v>
      </c>
      <c r="C52" s="284" t="s">
        <v>164</v>
      </c>
      <c r="D52" s="285">
        <v>45250.0</v>
      </c>
      <c r="E52" s="285">
        <v>45616.0</v>
      </c>
      <c r="F52" s="233">
        <v>720.52</v>
      </c>
      <c r="G52" s="233">
        <v>56.51</v>
      </c>
      <c r="H52" s="286">
        <v>13.0</v>
      </c>
      <c r="I52" s="251">
        <v>0.0</v>
      </c>
      <c r="J52" s="252">
        <f t="shared" si="6"/>
        <v>734.63</v>
      </c>
      <c r="K52" s="287">
        <f t="shared" si="8"/>
        <v>0</v>
      </c>
      <c r="L52" s="288" t="s">
        <v>162</v>
      </c>
      <c r="M52" s="289" t="s">
        <v>57</v>
      </c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</row>
    <row r="53" ht="18.75" customHeight="1">
      <c r="A53" s="28"/>
      <c r="B53" s="290"/>
      <c r="C53" s="284" t="s">
        <v>74</v>
      </c>
      <c r="D53" s="291" t="s">
        <v>165</v>
      </c>
      <c r="E53" s="286" t="s">
        <v>166</v>
      </c>
      <c r="F53" s="233">
        <v>1612.0</v>
      </c>
      <c r="G53" s="292">
        <v>134.37</v>
      </c>
      <c r="H53" s="286">
        <v>12.0</v>
      </c>
      <c r="I53" s="251">
        <v>0.0</v>
      </c>
      <c r="J53" s="252">
        <f t="shared" si="6"/>
        <v>1612.44</v>
      </c>
      <c r="K53" s="287">
        <f t="shared" si="8"/>
        <v>0</v>
      </c>
      <c r="L53" s="288" t="s">
        <v>162</v>
      </c>
      <c r="M53" s="289" t="s">
        <v>57</v>
      </c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</row>
    <row r="54">
      <c r="A54" s="279"/>
      <c r="B54" s="80">
        <v>0.0</v>
      </c>
      <c r="C54" s="168" t="s">
        <v>167</v>
      </c>
      <c r="D54" s="231">
        <v>44410.0</v>
      </c>
      <c r="E54" s="107">
        <v>46237.0</v>
      </c>
      <c r="F54" s="178">
        <v>4250.0</v>
      </c>
      <c r="G54" s="178">
        <v>95.69</v>
      </c>
      <c r="H54" s="91">
        <v>60.0</v>
      </c>
      <c r="I54" s="91">
        <v>0.0</v>
      </c>
      <c r="J54" s="262">
        <f t="shared" si="6"/>
        <v>5741.4</v>
      </c>
      <c r="K54" s="271">
        <f t="shared" si="8"/>
        <v>0</v>
      </c>
      <c r="L54" s="272" t="s">
        <v>168</v>
      </c>
      <c r="M54" s="101" t="s">
        <v>57</v>
      </c>
      <c r="N54" s="279"/>
      <c r="O54" s="281"/>
      <c r="P54" s="282"/>
      <c r="Q54" s="279"/>
      <c r="R54" s="279"/>
      <c r="S54" s="279"/>
      <c r="T54" s="279"/>
      <c r="U54" s="279"/>
      <c r="V54" s="279"/>
      <c r="W54" s="279"/>
      <c r="X54" s="279"/>
      <c r="Y54" s="279"/>
      <c r="Z54" s="279"/>
      <c r="AA54" s="279"/>
      <c r="AB54" s="279"/>
      <c r="AC54" s="279"/>
      <c r="AD54" s="279"/>
    </row>
    <row r="55">
      <c r="A55" s="293"/>
      <c r="B55" s="80">
        <v>0.0</v>
      </c>
      <c r="C55" s="168" t="s">
        <v>169</v>
      </c>
      <c r="D55" s="231">
        <v>44467.0</v>
      </c>
      <c r="E55" s="176">
        <v>45536.0</v>
      </c>
      <c r="F55" s="178">
        <v>4327.09</v>
      </c>
      <c r="G55" s="178">
        <v>120.48</v>
      </c>
      <c r="H55" s="91">
        <v>36.0</v>
      </c>
      <c r="I55" s="91">
        <v>0.0</v>
      </c>
      <c r="J55" s="252">
        <f t="shared" si="6"/>
        <v>4337.28</v>
      </c>
      <c r="K55" s="294">
        <f t="shared" si="8"/>
        <v>0</v>
      </c>
      <c r="L55" s="265" t="s">
        <v>170</v>
      </c>
      <c r="M55" s="101" t="s">
        <v>57</v>
      </c>
      <c r="N55" s="293"/>
      <c r="O55" s="295"/>
      <c r="P55" s="296"/>
      <c r="Q55" s="293"/>
      <c r="R55" s="293"/>
      <c r="S55" s="293"/>
      <c r="T55" s="293"/>
      <c r="U55" s="293"/>
      <c r="V55" s="293"/>
      <c r="W55" s="293"/>
      <c r="X55" s="293"/>
      <c r="Y55" s="293"/>
      <c r="Z55" s="293"/>
      <c r="AA55" s="293"/>
      <c r="AB55" s="293"/>
      <c r="AC55" s="293"/>
      <c r="AD55" s="293"/>
    </row>
    <row r="56">
      <c r="A56" s="279"/>
      <c r="B56" s="80" t="s">
        <v>57</v>
      </c>
      <c r="C56" s="168" t="s">
        <v>171</v>
      </c>
      <c r="D56" s="231">
        <v>44433.0</v>
      </c>
      <c r="E56" s="107">
        <v>45991.0</v>
      </c>
      <c r="F56" s="178">
        <v>5561.03</v>
      </c>
      <c r="G56" s="178">
        <v>150.34</v>
      </c>
      <c r="H56" s="91">
        <v>38.0</v>
      </c>
      <c r="I56" s="91">
        <v>0.0</v>
      </c>
      <c r="J56" s="252">
        <f t="shared" si="6"/>
        <v>5712.92</v>
      </c>
      <c r="K56" s="271">
        <f t="shared" si="8"/>
        <v>0</v>
      </c>
      <c r="L56" s="265" t="s">
        <v>172</v>
      </c>
      <c r="M56" s="101" t="s">
        <v>57</v>
      </c>
      <c r="N56" s="279"/>
      <c r="O56" s="281"/>
      <c r="P56" s="282"/>
      <c r="Q56" s="279"/>
      <c r="R56" s="279"/>
      <c r="S56" s="279"/>
      <c r="T56" s="279"/>
      <c r="U56" s="279"/>
      <c r="V56" s="279"/>
      <c r="W56" s="279"/>
      <c r="X56" s="279"/>
      <c r="Y56" s="279"/>
      <c r="Z56" s="279"/>
      <c r="AA56" s="279"/>
      <c r="AB56" s="279"/>
      <c r="AC56" s="279"/>
      <c r="AD56" s="279"/>
    </row>
    <row r="57" ht="18.75" customHeight="1">
      <c r="A57" s="279"/>
      <c r="B57" s="280">
        <v>27.0</v>
      </c>
      <c r="C57" s="168" t="s">
        <v>173</v>
      </c>
      <c r="D57" s="231">
        <v>44355.0</v>
      </c>
      <c r="E57" s="107">
        <v>47299.0</v>
      </c>
      <c r="F57" s="178">
        <v>3000.0</v>
      </c>
      <c r="G57" s="178">
        <v>45.73</v>
      </c>
      <c r="H57" s="91">
        <v>97.0</v>
      </c>
      <c r="I57" s="251">
        <v>0.0</v>
      </c>
      <c r="J57" s="262">
        <f>MINUS(F57, K57)</f>
        <v>3000</v>
      </c>
      <c r="K57" s="297">
        <v>0.0</v>
      </c>
      <c r="L57" s="265" t="s">
        <v>108</v>
      </c>
      <c r="M57" s="101" t="s">
        <v>57</v>
      </c>
      <c r="N57" s="279"/>
      <c r="O57" s="281"/>
      <c r="P57" s="282"/>
      <c r="Q57" s="279"/>
      <c r="R57" s="279"/>
      <c r="S57" s="279"/>
      <c r="T57" s="279"/>
      <c r="U57" s="279"/>
      <c r="V57" s="279"/>
      <c r="W57" s="279"/>
      <c r="X57" s="279"/>
      <c r="Y57" s="279"/>
      <c r="Z57" s="279"/>
      <c r="AA57" s="279"/>
      <c r="AB57" s="279"/>
      <c r="AC57" s="279"/>
      <c r="AD57" s="279"/>
    </row>
    <row r="58">
      <c r="A58" s="50"/>
      <c r="B58" s="298">
        <v>19.0</v>
      </c>
      <c r="C58" s="124" t="s">
        <v>174</v>
      </c>
      <c r="D58" s="114">
        <v>44116.0</v>
      </c>
      <c r="E58" s="118" t="s">
        <v>175</v>
      </c>
      <c r="F58" s="299">
        <v>13000.0</v>
      </c>
      <c r="G58" s="299">
        <v>179.3</v>
      </c>
      <c r="H58" s="118">
        <v>97.0</v>
      </c>
      <c r="I58" s="118">
        <v>0.0</v>
      </c>
      <c r="J58" s="300">
        <f>MINUS(F58,K58)</f>
        <v>13000</v>
      </c>
      <c r="K58" s="301">
        <v>0.0</v>
      </c>
      <c r="L58" s="302" t="s">
        <v>108</v>
      </c>
      <c r="M58" s="128" t="s">
        <v>57</v>
      </c>
      <c r="N58" s="50"/>
      <c r="O58" s="61"/>
      <c r="P58" s="159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</row>
    <row r="59">
      <c r="B59" s="303"/>
      <c r="C59" s="304"/>
      <c r="D59" s="305"/>
      <c r="E59" s="306"/>
      <c r="F59" s="307"/>
      <c r="G59" s="308"/>
      <c r="H59" s="309"/>
      <c r="I59" s="310"/>
      <c r="J59" s="311"/>
      <c r="K59" s="312"/>
      <c r="L59" s="313"/>
      <c r="M59" s="314"/>
    </row>
    <row r="60">
      <c r="B60" s="315">
        <f>COUNT(B9:B53)</f>
        <v>41</v>
      </c>
      <c r="C60" s="304"/>
      <c r="D60" s="305"/>
      <c r="E60" s="316">
        <f>AVERAGE(F9:F58)</f>
        <v>1037.7888</v>
      </c>
      <c r="F60" s="317">
        <f>SUM(F9:F58)</f>
        <v>51889.44</v>
      </c>
      <c r="G60" s="318"/>
      <c r="H60" s="319">
        <f>(G60*100)/1846</f>
        <v>0</v>
      </c>
      <c r="I60" s="320">
        <f>SUM(I9:I56)</f>
        <v>0</v>
      </c>
      <c r="J60" s="321">
        <f>SUM(J9:J58)</f>
        <v>55417.36</v>
      </c>
      <c r="K60" s="322"/>
      <c r="L60" s="323"/>
      <c r="M60" s="324"/>
    </row>
    <row r="61">
      <c r="H61" s="6"/>
      <c r="K61" s="325"/>
      <c r="L61" s="326"/>
    </row>
    <row r="62">
      <c r="L62" s="326"/>
    </row>
    <row r="63">
      <c r="A63" s="327"/>
      <c r="G63" s="1"/>
      <c r="N63" s="327"/>
      <c r="O63" s="327"/>
      <c r="P63" s="327"/>
      <c r="Q63" s="327"/>
      <c r="R63" s="327"/>
      <c r="S63" s="327"/>
      <c r="T63" s="327"/>
      <c r="U63" s="327"/>
      <c r="V63" s="327"/>
      <c r="W63" s="327"/>
      <c r="X63" s="327"/>
      <c r="Y63" s="327"/>
      <c r="Z63" s="327"/>
      <c r="AA63" s="327"/>
      <c r="AB63" s="327"/>
      <c r="AC63" s="327"/>
      <c r="AD63" s="327"/>
    </row>
    <row r="65">
      <c r="R65" s="328"/>
    </row>
    <row r="66">
      <c r="R66" s="328"/>
    </row>
    <row r="67">
      <c r="A67" s="329"/>
      <c r="N67" s="329"/>
      <c r="O67" s="329"/>
      <c r="P67" s="329"/>
      <c r="Q67" s="329"/>
      <c r="R67" s="330"/>
      <c r="S67" s="329"/>
      <c r="T67" s="329"/>
      <c r="U67" s="329"/>
      <c r="V67" s="329"/>
      <c r="W67" s="329"/>
      <c r="X67" s="329"/>
      <c r="Y67" s="329"/>
      <c r="Z67" s="329"/>
      <c r="AA67" s="329"/>
      <c r="AB67" s="329"/>
      <c r="AC67" s="329"/>
      <c r="AD67" s="329"/>
    </row>
    <row r="68">
      <c r="R68" s="1"/>
    </row>
    <row r="86">
      <c r="D86" s="227"/>
      <c r="F86" s="329"/>
    </row>
    <row r="87">
      <c r="F87" s="329"/>
      <c r="I87" s="227"/>
    </row>
    <row r="88">
      <c r="F88" s="329"/>
      <c r="I88" s="227"/>
    </row>
  </sheetData>
  <customSheetViews>
    <customSheetView guid="{3F14B2EF-E4D3-4E28-82E4-533E83243288}" filter="1" showAutoFilter="1">
      <autoFilter ref="$B$4:$M$4"/>
    </customSheetView>
  </customSheetViews>
  <mergeCells count="2">
    <mergeCell ref="F2:I2"/>
    <mergeCell ref="C6:M6"/>
  </mergeCells>
  <hyperlinks>
    <hyperlink r:id="rId1" ref="C18"/>
    <hyperlink r:id="rId2" ref="L49"/>
    <hyperlink r:id="rId3" ref="L5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